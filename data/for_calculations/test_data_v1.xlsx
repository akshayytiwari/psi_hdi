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<sst xmlns="http://schemas.openxmlformats.org/spreadsheetml/2006/main" count="349" uniqueCount="196">
  <si>
    <t xml:space="preserve">country</t>
  </si>
  <si>
    <t xml:space="preserve">article</t>
  </si>
  <si>
    <t xml:space="preserve">scope_of_estimate</t>
  </si>
  <si>
    <t xml:space="preserve">areas</t>
  </si>
  <si>
    <t xml:space="preserve">test_name</t>
  </si>
  <si>
    <t xml:space="preserve">test_type</t>
  </si>
  <si>
    <t xml:space="preserve">test_manufacturer</t>
  </si>
  <si>
    <t xml:space="preserve">alpha</t>
  </si>
  <si>
    <t xml:space="preserve">alpha_l</t>
  </si>
  <si>
    <t xml:space="preserve">alpha_u</t>
  </si>
  <si>
    <t xml:space="preserve">beta</t>
  </si>
  <si>
    <t xml:space="preserve">beta_l</t>
  </si>
  <si>
    <t xml:space="preserve">beta_u</t>
  </si>
  <si>
    <t xml:space="preserve">start date</t>
  </si>
  <si>
    <t xml:space="preserve">end date</t>
  </si>
  <si>
    <t xml:space="preserve">recall_start_date</t>
  </si>
  <si>
    <t xml:space="preserve">recall_period</t>
  </si>
  <si>
    <t xml:space="preserve">mean_median_age</t>
  </si>
  <si>
    <t xml:space="preserve">test_validation</t>
  </si>
  <si>
    <t xml:space="preserve">source</t>
  </si>
  <si>
    <t xml:space="preserve">Brazil</t>
  </si>
  <si>
    <t xml:space="preserve">Menezes et al.</t>
  </si>
  <si>
    <t xml:space="preserve">N</t>
  </si>
  <si>
    <t xml:space="preserve"> Sentinel cities in 26 Brazilian states and the Federal District</t>
  </si>
  <si>
    <t xml:space="preserve">SARS-CoV-2 rapid point-of-care test</t>
  </si>
  <si>
    <t xml:space="preserve">LFIA</t>
  </si>
  <si>
    <t xml:space="preserve">Wondfo Biotech Co., Guangzhou, China</t>
  </si>
  <si>
    <t xml:space="preserve">NA</t>
  </si>
  <si>
    <t xml:space="preserve">Validated by independent authors/third party/non-developers</t>
  </si>
  <si>
    <t xml:space="preserve">alpha and beta are obtained from Menezes et al.. Recall since March 2020. Median age was not given, but grouped data was given.</t>
  </si>
  <si>
    <t xml:space="preserve">Cameroon</t>
  </si>
  <si>
    <t xml:space="preserve">Nwosu et al.</t>
  </si>
  <si>
    <t xml:space="preserve">L</t>
  </si>
  <si>
    <t xml:space="preserve">The study was conducted in Cité Verte, a health district of Yaounde, Cameroon</t>
  </si>
  <si>
    <t xml:space="preserve">Panbio COVID-19 IgG rapid test</t>
  </si>
  <si>
    <t xml:space="preserve">Abbott Laboratories</t>
  </si>
  <si>
    <t xml:space="preserve">Validated by independent authors/third party/non-developers. Sen and spe for both IgM and IgG were given, I chose the latter.</t>
  </si>
  <si>
    <t xml:space="preserve">Canada</t>
  </si>
  <si>
    <t xml:space="preserve">Tang et al.</t>
  </si>
  <si>
    <t xml:space="preserve">The study was conducted in New Brunswick, Newfoundland, Nova Scotia, and Prince Edward Island, British Columbia, some Yukon Territory, Alberta, Saskatchewan, Manitoba, some Northwest Territories, Ontario, Quebec</t>
  </si>
  <si>
    <t xml:space="preserve">Author designed (ELISA) -Spike</t>
  </si>
  <si>
    <t xml:space="preserve">Validated by developers</t>
  </si>
  <si>
    <t xml:space="preserve">Sensitivity 98% and specificity approximately 99%, based on ROC-defined thresholds; confidence intervals were not reported.</t>
  </si>
  <si>
    <t xml:space="preserve">Chile</t>
  </si>
  <si>
    <t xml:space="preserve">Vial et al.</t>
  </si>
  <si>
    <t xml:space="preserve">The study was conducted in three urban areas in central Chile: Greater Santiago, Coquimbo-La Serena, and Talca.</t>
  </si>
  <si>
    <t xml:space="preserve">Elecsys® Anti‐SARS‐CoV‐2</t>
  </si>
  <si>
    <t xml:space="preserve">ELISA</t>
  </si>
  <si>
    <t xml:space="preserve">Roche Diagnostics</t>
  </si>
  <si>
    <t xml:space="preserve">Multiple tests were used giving multiple independently validated sensitivity and specificity, but for ease, I took the data of only the ELISA test by Roche.</t>
  </si>
  <si>
    <t xml:space="preserve">China</t>
  </si>
  <si>
    <t xml:space="preserve">Li et al.</t>
  </si>
  <si>
    <t xml:space="preserve">The study was conducted in China across Wuhan, the rest of Hubei Province, and six other major provinces or municipalities</t>
  </si>
  <si>
    <t xml:space="preserve">Micro-neutralization (MN) assays</t>
  </si>
  <si>
    <t xml:space="preserve">Neutralization assay</t>
  </si>
  <si>
    <t xml:space="preserve">Author designed</t>
  </si>
  <si>
    <t xml:space="preserve">Validated by developers (authors)</t>
  </si>
  <si>
    <t xml:space="preserve">Symptoms occurred between Dec 2019 and Mar 2020 were considered. Symptom status and infection status was given for author-designed micro-neutralization assay for which sen data is not clear. See the section of validation of MN assay, where a study from Hongkong validated the assay and found that 8 out of 9 positive cases (sen ~ 0.88) turned out seropositive. However, this was found when higher threashold was considered. Li et al. considered a lower threshold, and I expect that sen will then be even higher. So sen ~0.95 is a valid assumption. Also, we are calculating CIs from weakly informative priors. But sample size is not given. Spe was 1 with 161 non-reactive samples. Thus, Cis for spe was calculated (see codefile ‘efffective_sen_spe.Rmd’).</t>
  </si>
  <si>
    <t xml:space="preserve">Colombia</t>
  </si>
  <si>
    <t xml:space="preserve">Garay et al.</t>
  </si>
  <si>
    <t xml:space="preserve">S</t>
  </si>
  <si>
    <t xml:space="preserve">The survey was conducted in the department of Córdoba, Colombia, specifically targeting its eight most populous municipalities. </t>
  </si>
  <si>
    <t xml:space="preserve">INgezim® COVID 19 DR test</t>
  </si>
  <si>
    <t xml:space="preserve">Eurofins Ingenasa</t>
  </si>
  <si>
    <t xml:space="preserve">3 months</t>
  </si>
  <si>
    <t xml:space="preserve">Sen and spe data were taken from Mattar et al., cited in the study.. It has mean values but not Cis; thus Cis were calculated using given sample size (In Mattar et al.) using Wilson score. Code for the calculation is saved as ‘CI_sen_cpe_Garay_Columbia.R’.</t>
  </si>
  <si>
    <t xml:space="preserve">Denmark</t>
  </si>
  <si>
    <t xml:space="preserve">Espenhain et al.</t>
  </si>
  <si>
    <t xml:space="preserve">The study was conducted across Denmark as part of a nationwide seroprevalence survey using the national civil registry.</t>
  </si>
  <si>
    <t xml:space="preserve">Wantai SARS-CoV-2 Total Ab ELISA</t>
  </si>
  <si>
    <t xml:space="preserve">Beijing Wantai Biological</t>
  </si>
  <si>
    <t xml:space="preserve">1 Feb, 2020</t>
  </si>
  <si>
    <t xml:space="preserve">Age group data, but mean (or median age), was given. The survey was conducted in 3 phases, but symptom status of individuals was given only for the second and the third phases. Thus, age group distribution was taken by summing the distribution of both the phases.</t>
  </si>
  <si>
    <t xml:space="preserve">France</t>
  </si>
  <si>
    <t xml:space="preserve">Rouquette et al.</t>
  </si>
  <si>
    <t xml:space="preserve">The study was conducted across France using a nationally representative sample drawn from the administrative and tax database.</t>
  </si>
  <si>
    <t xml:space="preserve">Anti-SARS-CoV-2 ELISA IgG</t>
  </si>
  <si>
    <t xml:space="preserve">Euroimmun</t>
  </si>
  <si>
    <t xml:space="preserve">Sen and spe were provided in ranges citing three papers: Beavis et al.,  Krüttgen et al., and  Montesinos et al.. We chose the first one because of the largest sample size taken for both sen and spe. Link: https://doi.org/10.1016/j.jcv.2020.104468. Start date of recall of symptoms: since Feb 2020.</t>
  </si>
  <si>
    <t xml:space="preserve">Germany</t>
  </si>
  <si>
    <t xml:space="preserve">Santos-Hövener et al.</t>
  </si>
  <si>
    <t xml:space="preserve">The study was conducted in Kupferzell, a small town in southern Germany.  </t>
  </si>
  <si>
    <t xml:space="preserve">Cis of sen and spe were not given, hence were calculated (see the code file) using the sample size of tested positive and negative people in Santos-Hövener et al.. This was an independent validation of test assay by a third party, and the reference of the third party was given in the form of personal communication, but not in the form of article. Age group data, but mean (or median) age, was given, individually, for males and female. So I have summed each male and female age group and created a age group data file.</t>
  </si>
  <si>
    <t xml:space="preserve">Guinea</t>
  </si>
  <si>
    <t xml:space="preserve">Soumah et al.</t>
  </si>
  <si>
    <t xml:space="preserve">The study was conducted in Conakry, captial city of Guinea</t>
  </si>
  <si>
    <t xml:space="preserve">xMAP® SARS‑CoV‑2 Multi-Antigen IgG Assay</t>
  </si>
  <si>
    <t xml:space="preserve">Multiplex assay</t>
  </si>
  <si>
    <t xml:space="preserve">Luminex Corp, Austin, TX, USA</t>
  </si>
  <si>
    <t xml:space="preserve">Dec 2, 20</t>
  </si>
  <si>
    <t xml:space="preserve">Dec 16, 20</t>
  </si>
  <si>
    <t xml:space="preserve">Later</t>
  </si>
  <si>
    <t xml:space="preserve">CIs of sen and spe were taken from a cited study, Akouba et al.. Age distribution was given.</t>
  </si>
  <si>
    <t xml:space="preserve">Hungary</t>
  </si>
  <si>
    <t xml:space="preserve">Merkely et al.</t>
  </si>
  <si>
    <t xml:space="preserve">The study was conducted across Hungary using a nationally representative sample covering all regions and settlement types.</t>
  </si>
  <si>
    <t xml:space="preserve">Abbott Architect SARS-CoV-2 IgG</t>
  </si>
  <si>
    <t xml:space="preserve">CLIA</t>
  </si>
  <si>
    <t xml:space="preserve">The study did not specify sen or spe. However, it cited a link of Abott laboratories, the manufacturer of their assays, link: https://www.corelaboratory.abbott/us/en/offerings/segments/infectious-disease/sars-cov-2.html. Start date of recall is given in Table 1 of the study.</t>
  </si>
  <si>
    <t xml:space="preserve">India</t>
  </si>
  <si>
    <t xml:space="preserve">Murhekar et al.</t>
  </si>
  <si>
    <t xml:space="preserve">The study was conducted across 70 districts in India, covering 700 villages or urban wards as part of a national serosurvey.</t>
  </si>
  <si>
    <t xml:space="preserve">Cis were taken fromAbbott website. Link: https://www.corelaboratory.abbott/us/en/offerings/segments/infectious-disease/sars-cov-2.html. Start date of recall is given in Table 1 of the study.</t>
  </si>
  <si>
    <t xml:space="preserve">Iran </t>
  </si>
  <si>
    <t xml:space="preserve">Shakiba et al.</t>
  </si>
  <si>
    <t xml:space="preserve">The study was conducted in the following cities of Guilan province: Rasht, Anzali, Lahijan, and other counties within Guilan</t>
  </si>
  <si>
    <t xml:space="preserve">VivaDiag COVID-19 IgM/IgG Rapid Test</t>
  </si>
  <si>
    <t xml:space="preserve">VivaChek Biotech (Hangzhou) Co. Ltd</t>
  </si>
  <si>
    <t xml:space="preserve">Apr 11, 20</t>
  </si>
  <si>
    <t xml:space="preserve">Apr 19, 20</t>
  </si>
  <si>
    <t xml:space="preserve">CIs for sens and spec were not given. Instead, beta distribution parameters were given. So I directly used the latter. Distribution of age was given. Importantly, from the total sample of 551, 11 refused blood sampling. But number of asymptomatic and symptomatic cases were given for 551 cases (Table). So I took the latter. We will have to mention this in the manuscript.</t>
  </si>
  <si>
    <t xml:space="preserve">Ireland</t>
  </si>
  <si>
    <t xml:space="preserve">Heavey et al.</t>
  </si>
  <si>
    <t xml:space="preserve">The study was conducted in two Irish counties, Dublin and Sligo, representing areas of high and low COVID-19 incidence.</t>
  </si>
  <si>
    <t xml:space="preserve">They used two assays: Abbott and Wantai, but primarily used the former one. So, so the sake of simplicity, I used that. Cis of sen and spe were taken from the cited reference of PHE (see the findings of Abbott assay). Age group data, but mean or (median) age, was given.</t>
  </si>
  <si>
    <t xml:space="preserve">Italy</t>
  </si>
  <si>
    <t xml:space="preserve">Pagani et al.</t>
  </si>
  <si>
    <t xml:space="preserve">The study was conducted in Castiglione D’Adda, a municipality in Lombardy, northern Italy.</t>
  </si>
  <si>
    <t xml:space="preserve">Prima Lab SA Covid-19 IgG Rapid test</t>
  </si>
  <si>
    <t xml:space="preserve">Prima Lab, Switzerland</t>
  </si>
  <si>
    <t xml:space="preserve">Sen and spe values were taken from the cited reference. Wrong values of spe were given by Pagani et al.</t>
  </si>
  <si>
    <t xml:space="preserve">Kenya</t>
  </si>
  <si>
    <t xml:space="preserve">Ngere et al.</t>
  </si>
  <si>
    <t xml:space="preserve">The study was conducted in Nairobi City County, Kenya, covering all 17 of its administrative sub-counties.</t>
  </si>
  <si>
    <t xml:space="preserve">Nov 2, 20</t>
  </si>
  <si>
    <t xml:space="preserve">Nov 23, 20</t>
  </si>
  <si>
    <t xml:space="preserve">12 months</t>
  </si>
  <si>
    <t xml:space="preserve">Cis given in the FDA validation is different from the values mentioned in Ngere et al.; thus, I did not take Cis from FDA site: https://www.fda.gov/media/140929/download . </t>
  </si>
  <si>
    <t xml:space="preserve">Maldives</t>
  </si>
  <si>
    <t xml:space="preserve">Abdul-Raheem et al.</t>
  </si>
  <si>
    <t xml:space="preserve">The study was conducted in the Greater Malé area, the urban capital region of the Maldives.</t>
  </si>
  <si>
    <t xml:space="preserve"> VITROS anti-SARS- CoV-2 IgG antibody</t>
  </si>
  <si>
    <t xml:space="preserve">Ortho Clinical Diagnostics Inc.</t>
  </si>
  <si>
    <t xml:space="preserve">Ci of sens and spe were taken from the cited reference: https://www.accessdata.fda.gov/cdrh_docs/presentations/maf/maf3371-a001.pdf </t>
  </si>
  <si>
    <t xml:space="preserve">Mexico</t>
  </si>
  <si>
    <t xml:space="preserve">Basto-Abreu</t>
  </si>
  <si>
    <t xml:space="preserve">The study was conducted across Mexico as part of the nationally representative 2020 Health and Nutrition Survey.</t>
  </si>
  <si>
    <t xml:space="preserve">Roche Elecsys Anti-SARS-CoV-2pan-immunoglobulin immunoassay test</t>
  </si>
  <si>
    <t xml:space="preserve">Validated by authors</t>
  </si>
  <si>
    <t xml:space="preserve">Recall given since March 2020. Age group data, but mean( or median) age, was given.</t>
  </si>
  <si>
    <t xml:space="preserve">Netherlands</t>
  </si>
  <si>
    <t xml:space="preserve">Vos et al.</t>
  </si>
  <si>
    <t xml:space="preserve">The study was conducted across the Netherlands using a nationally representative sample from 40 municipalities in five regions.</t>
  </si>
  <si>
    <t xml:space="preserve">Validated by independent authors/third party/non-developers. Age group data, but median (or mean) age, was given.</t>
  </si>
  <si>
    <t xml:space="preserve">In the cited article, Cis were not given, but the sample size. Thus, I calculated Cis using that.</t>
  </si>
  <si>
    <t xml:space="preserve">Nigeria</t>
  </si>
  <si>
    <t xml:space="preserve">Okpala et al.</t>
  </si>
  <si>
    <t xml:space="preserve">The study was conducted across all local government areas of Anambra State in southeastern Nigeria.</t>
  </si>
  <si>
    <t xml:space="preserve">Realy Tech SARS-CoV-2 Antibodies Rapid Test Device</t>
  </si>
  <si>
    <t xml:space="preserve">Ci of sen was calculated through sample size given in supplementary material of Okpala et al.. Sample size for spe was not given. Age group data, but median (or mean) age, was given.</t>
  </si>
  <si>
    <t xml:space="preserve">Pakistan</t>
  </si>
  <si>
    <t xml:space="preserve">Nisar et al.</t>
  </si>
  <si>
    <t xml:space="preserve">The study was conducted in selected union councils of District East and District Malir in Karachi, Pakistan.</t>
  </si>
  <si>
    <t xml:space="preserve">2 months</t>
  </si>
  <si>
    <t xml:space="preserve">Mean age for individual phases were given, but not the overall mean. Overall mean was calculated by taking mean of individual means. Since the provided link for sen and spe was not opening, we took sen and spe for the same assay from other studies.</t>
  </si>
  <si>
    <t xml:space="preserve">Peru</t>
  </si>
  <si>
    <t xml:space="preserve">Díaz-Vélez et al.</t>
  </si>
  <si>
    <t xml:space="preserve">The study was conducted in the Lambayeque region of northern Peru, covering 38 districts.</t>
  </si>
  <si>
    <t xml:space="preserve">Coretest COVID-19 IgM/IgG Ab Test</t>
  </si>
  <si>
    <t xml:space="preserve">Core Technology</t>
  </si>
  <si>
    <t xml:space="preserve">Age group data, but median (or mean) age, was given.</t>
  </si>
  <si>
    <t xml:space="preserve">Portugal</t>
  </si>
  <si>
    <t xml:space="preserve">Canto e Castro et al.</t>
  </si>
  <si>
    <t xml:space="preserve">The study was conducted across Portugal using voluntary enrollment.</t>
  </si>
  <si>
    <t xml:space="preserve">Multiple types</t>
  </si>
  <si>
    <t xml:space="preserve">Siemens Heathineers</t>
  </si>
  <si>
    <t xml:space="preserve">Cis of sen and spe were calculated using sample size used by reference cited by Canto e Castro et al.. Sample size is given in supplementary material.</t>
  </si>
  <si>
    <t xml:space="preserve">Senegal </t>
  </si>
  <si>
    <t xml:space="preserve">Talla et al.</t>
  </si>
  <si>
    <t xml:space="preserve">The study was conducted in all regions of Senegal</t>
  </si>
  <si>
    <t xml:space="preserve">Multiple</t>
  </si>
  <si>
    <t xml:space="preserve">6 months</t>
  </si>
  <si>
    <t xml:space="preserve">They used multiple assay, and their method of calculating the overall sen and spe might not be correct. Therefore, alpha and beta are estimated through their method. Details are given in rebuttal letter</t>
  </si>
  <si>
    <t xml:space="preserve">Spain</t>
  </si>
  <si>
    <t xml:space="preserve">Pérez-Gómez et al.</t>
  </si>
  <si>
    <t xml:space="preserve">The study was conducted across Spain as part of a nationwide seroepidemiological investigation (ENE-COVID).</t>
  </si>
  <si>
    <t xml:space="preserve">CMIA</t>
  </si>
  <si>
    <t xml:space="preserve">Cis for sen and spe were taken from Pastor-Barriuso et al., the study cited by Perez-Gomez et al.. Age group data, but median (or mean) age, was given. Although recall period was not given, most of the participants had recall period around weeks</t>
  </si>
  <si>
    <t xml:space="preserve">Switzerland</t>
  </si>
  <si>
    <t xml:space="preserve">Richard et al.</t>
  </si>
  <si>
    <t xml:space="preserve">The study was conducted in the canton of Geneva, Switzerland, based on a representative sample of its residents.</t>
  </si>
  <si>
    <t xml:space="preserve">Recall start date since Jan 01, 2020</t>
  </si>
  <si>
    <t xml:space="preserve">UK </t>
  </si>
  <si>
    <t xml:space="preserve">Ward et al.</t>
  </si>
  <si>
    <t xml:space="preserve">The study was conducted across England using a random sample from the National Health Service patient registry.</t>
  </si>
  <si>
    <t xml:space="preserve">Coronavirus Antibody Rapid Test</t>
  </si>
  <si>
    <t xml:space="preserve">Fortress Diagnostics</t>
  </si>
  <si>
    <t xml:space="preserve">Jun 20, 20</t>
  </si>
  <si>
    <t xml:space="preserve">Jul 13, 20</t>
  </si>
  <si>
    <t xml:space="preserve">Age group data, but median ( or mean) age, was given.</t>
  </si>
  <si>
    <t xml:space="preserve">US</t>
  </si>
  <si>
    <t xml:space="preserve">Sullivan et al.</t>
  </si>
  <si>
    <t xml:space="preserve">The study was conducted across the United States using a national probability sample with at-home specimen collection.</t>
  </si>
  <si>
    <t xml:space="preserve">Platelia SARS-CoV-2 Total Ab assay</t>
  </si>
  <si>
    <t xml:space="preserve">Bio-rad</t>
  </si>
  <si>
    <t xml:space="preserve">Cis for sen and spe were obtained from the cited link: “https://www.fda.gov/medical-devices/covid-19-emergency-use-authorizations-medical-devices/eua-authorized-serology-test-performance”. Age group data, but median (or mean) age, was given</t>
  </si>
</sst>
</file>

<file path=xl/styles.xml><?xml version="1.0" encoding="utf-8"?>
<styleSheet xmlns="http://schemas.openxmlformats.org/spreadsheetml/2006/main">
  <numFmts count="6">
    <numFmt numFmtId="164" formatCode="General"/>
    <numFmt numFmtId="165" formatCode="mmm\ d&quot;, &quot;yy"/>
    <numFmt numFmtId="166" formatCode="mm/dd/yy"/>
    <numFmt numFmtId="167" formatCode="mmm\ d&quot;, &quot;yyyy"/>
    <numFmt numFmtId="168" formatCode="@"/>
    <numFmt numFmtId="169" formatCode="0.00"/>
  </numFmts>
  <fonts count="6">
    <font>
      <sz val="10"/>
      <name val="Arial"/>
      <family val="2"/>
      <charset val="1"/>
    </font>
    <font>
      <sz val="10"/>
      <name val="Arial"/>
      <family val="0"/>
    </font>
    <font>
      <sz val="10"/>
      <name val="Arial"/>
      <family val="0"/>
    </font>
    <font>
      <sz val="10"/>
      <name val="Arial"/>
      <family val="0"/>
    </font>
    <font>
      <sz val="10"/>
      <color rgb="FF000000"/>
      <name val="Arial"/>
      <family val="2"/>
      <charset val="1"/>
    </font>
    <font>
      <sz val="10"/>
      <color rgb="FF00000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6" fontId="4" fillId="0" borderId="0" xfId="0" applyFont="true" applyBorder="false" applyAlignment="true" applyProtection="true">
      <alignment horizontal="center" vertical="bottom" textRotation="0" wrapText="false" indent="0" shrinkToFit="false"/>
      <protection locked="true" hidden="false"/>
    </xf>
    <xf numFmtId="167" fontId="4" fillId="0" borderId="0" xfId="0" applyFont="true" applyBorder="false" applyAlignment="true" applyProtection="true">
      <alignment horizontal="center" vertical="bottom" textRotation="0" wrapText="false" indent="0" shrinkToFit="false"/>
      <protection locked="true" hidden="false"/>
    </xf>
    <xf numFmtId="168" fontId="4" fillId="0" borderId="0" xfId="0" applyFont="true" applyBorder="false" applyAlignment="true" applyProtection="true">
      <alignment horizontal="general" vertical="bottom" textRotation="0" wrapText="false" indent="0" shrinkToFit="false"/>
      <protection locked="true" hidden="false"/>
    </xf>
    <xf numFmtId="168" fontId="4" fillId="0" borderId="0" xfId="0" applyFont="true" applyBorder="false" applyAlignment="true" applyProtection="true">
      <alignment horizontal="center" vertical="bottom" textRotation="0" wrapText="false" indent="0" shrinkToFit="false"/>
      <protection locked="true" hidden="false"/>
    </xf>
    <xf numFmtId="169" fontId="4"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orelaboratory.abbott/us/en/offerings/segments/infectious-disease/sars-cov-2.html" TargetMode="External"/><Relationship Id="rId2" Type="http://schemas.openxmlformats.org/officeDocument/2006/relationships/hyperlink" Target="https://www.fda.gov/medical-devices/covid-19-emergency-us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2" activeCellId="0" sqref="A2"/>
    </sheetView>
  </sheetViews>
  <sheetFormatPr defaultColWidth="11.53515625" defaultRowHeight="18.55" zeroHeight="false" outlineLevelRow="0" outlineLevelCol="0"/>
  <cols>
    <col collapsed="false" customWidth="false" hidden="false" outlineLevel="0" max="1" min="1" style="1" width="11.53"/>
    <col collapsed="false" customWidth="true" hidden="false" outlineLevel="0" max="2" min="2" style="1" width="18.96"/>
    <col collapsed="false" customWidth="false" hidden="false" outlineLevel="0" max="3" min="3" style="2" width="11.53"/>
    <col collapsed="false" customWidth="true" hidden="false" outlineLevel="0" max="4" min="4" style="3" width="14.29"/>
    <col collapsed="false" customWidth="true" hidden="false" outlineLevel="0" max="5" min="5" style="3" width="66.79"/>
    <col collapsed="false" customWidth="false" hidden="false" outlineLevel="0" max="6" min="6" style="3" width="11.53"/>
    <col collapsed="false" customWidth="true" hidden="false" outlineLevel="0" max="7" min="7" style="3" width="44.97"/>
    <col collapsed="false" customWidth="false" hidden="false" outlineLevel="0" max="13" min="8" style="2" width="11.53"/>
    <col collapsed="false" customWidth="false" hidden="false" outlineLevel="0" max="15" min="14" style="4" width="11.53"/>
    <col collapsed="false" customWidth="false" hidden="false" outlineLevel="0" max="18" min="16" style="2" width="11.53"/>
    <col collapsed="false" customWidth="true" hidden="false" outlineLevel="0" max="19" min="19" style="1" width="17.68"/>
    <col collapsed="false" customWidth="true" hidden="false" outlineLevel="0" max="20" min="20" style="1" width="244.85"/>
    <col collapsed="false" customWidth="false" hidden="false" outlineLevel="0" max="16384" min="21" style="1" width="11.53"/>
  </cols>
  <sheetData>
    <row r="1" customFormat="false" ht="18.55" hidden="false" customHeight="true" outlineLevel="0" collapsed="false">
      <c r="A1" s="3" t="s">
        <v>0</v>
      </c>
      <c r="B1" s="3" t="s">
        <v>1</v>
      </c>
      <c r="C1" s="3" t="s">
        <v>2</v>
      </c>
      <c r="D1" s="3" t="s">
        <v>3</v>
      </c>
      <c r="E1" s="3" t="s">
        <v>4</v>
      </c>
      <c r="F1" s="3" t="s">
        <v>5</v>
      </c>
      <c r="G1" s="3" t="s">
        <v>6</v>
      </c>
      <c r="H1" s="2" t="s">
        <v>7</v>
      </c>
      <c r="I1" s="2" t="s">
        <v>8</v>
      </c>
      <c r="J1" s="2" t="s">
        <v>9</v>
      </c>
      <c r="K1" s="2" t="s">
        <v>10</v>
      </c>
      <c r="L1" s="2" t="s">
        <v>11</v>
      </c>
      <c r="M1" s="2" t="s">
        <v>12</v>
      </c>
      <c r="N1" s="3" t="s">
        <v>13</v>
      </c>
      <c r="O1" s="3" t="s">
        <v>14</v>
      </c>
      <c r="P1" s="3" t="s">
        <v>15</v>
      </c>
      <c r="Q1" s="3" t="s">
        <v>16</v>
      </c>
      <c r="R1" s="3" t="s">
        <v>17</v>
      </c>
      <c r="S1" s="1" t="s">
        <v>18</v>
      </c>
      <c r="T1" s="1" t="s">
        <v>19</v>
      </c>
    </row>
    <row r="2" customFormat="false" ht="18.55" hidden="false" customHeight="true" outlineLevel="0" collapsed="false">
      <c r="A2" s="3" t="s">
        <v>20</v>
      </c>
      <c r="B2" s="3" t="s">
        <v>21</v>
      </c>
      <c r="C2" s="2" t="s">
        <v>22</v>
      </c>
      <c r="D2" s="3" t="s">
        <v>23</v>
      </c>
      <c r="E2" s="3" t="s">
        <v>24</v>
      </c>
      <c r="F2" s="3" t="s">
        <v>25</v>
      </c>
      <c r="G2" s="3" t="s">
        <v>26</v>
      </c>
      <c r="H2" s="2" t="n">
        <v>0.848</v>
      </c>
      <c r="I2" s="2" t="n">
        <v>0.814</v>
      </c>
      <c r="J2" s="2" t="n">
        <v>0.878</v>
      </c>
      <c r="K2" s="2" t="n">
        <v>0.9995</v>
      </c>
      <c r="L2" s="2" t="n">
        <v>0.978</v>
      </c>
      <c r="M2" s="2" t="n">
        <v>0.997</v>
      </c>
      <c r="N2" s="4" t="n">
        <v>44003</v>
      </c>
      <c r="O2" s="4" t="n">
        <v>44006</v>
      </c>
      <c r="P2" s="5" t="n">
        <v>43891</v>
      </c>
      <c r="Q2" s="2" t="s">
        <v>27</v>
      </c>
      <c r="R2" s="2" t="s">
        <v>27</v>
      </c>
      <c r="S2" s="1" t="s">
        <v>28</v>
      </c>
      <c r="T2" s="1" t="s">
        <v>29</v>
      </c>
    </row>
    <row r="3" customFormat="false" ht="18.55" hidden="false" customHeight="true" outlineLevel="0" collapsed="false">
      <c r="A3" s="1" t="s">
        <v>30</v>
      </c>
      <c r="B3" s="1" t="s">
        <v>31</v>
      </c>
      <c r="C3" s="2" t="s">
        <v>32</v>
      </c>
      <c r="D3" s="3" t="s">
        <v>33</v>
      </c>
      <c r="E3" s="3" t="s">
        <v>34</v>
      </c>
      <c r="F3" s="3" t="s">
        <v>25</v>
      </c>
      <c r="G3" s="3" t="s">
        <v>35</v>
      </c>
      <c r="H3" s="2" t="n">
        <v>0.915</v>
      </c>
      <c r="I3" s="2" t="n">
        <v>0.832</v>
      </c>
      <c r="J3" s="2" t="n">
        <v>0.965</v>
      </c>
      <c r="K3" s="2" t="n">
        <v>0.935</v>
      </c>
      <c r="L3" s="2" t="n">
        <v>0.897</v>
      </c>
      <c r="M3" s="2" t="n">
        <v>0.962</v>
      </c>
      <c r="N3" s="4" t="n">
        <v>44118</v>
      </c>
      <c r="O3" s="4" t="n">
        <v>44161</v>
      </c>
      <c r="P3" s="5" t="n">
        <v>43891</v>
      </c>
      <c r="Q3" s="5" t="s">
        <v>27</v>
      </c>
      <c r="R3" s="2" t="n">
        <v>26</v>
      </c>
      <c r="S3" s="1" t="s">
        <v>36</v>
      </c>
    </row>
    <row r="4" customFormat="false" ht="18.55" hidden="false" customHeight="true" outlineLevel="0" collapsed="false">
      <c r="A4" s="1" t="s">
        <v>37</v>
      </c>
      <c r="B4" s="1" t="s">
        <v>38</v>
      </c>
      <c r="C4" s="2" t="s">
        <v>22</v>
      </c>
      <c r="D4" s="3" t="s">
        <v>39</v>
      </c>
      <c r="F4" s="3" t="s">
        <v>40</v>
      </c>
      <c r="G4" s="1" t="s">
        <v>27</v>
      </c>
      <c r="H4" s="2" t="n">
        <v>0.98</v>
      </c>
      <c r="I4" s="2" t="s">
        <v>27</v>
      </c>
      <c r="J4" s="2" t="s">
        <v>27</v>
      </c>
      <c r="K4" s="2" t="n">
        <v>0.99</v>
      </c>
      <c r="L4" s="2" t="s">
        <v>27</v>
      </c>
      <c r="M4" s="2" t="s">
        <v>27</v>
      </c>
      <c r="N4" s="4" t="n">
        <v>43952</v>
      </c>
      <c r="O4" s="4" t="n">
        <v>44104</v>
      </c>
      <c r="P4" s="6" t="n">
        <v>43860</v>
      </c>
      <c r="Q4" s="5" t="s">
        <v>27</v>
      </c>
      <c r="R4" s="2" t="n">
        <v>50.9</v>
      </c>
      <c r="S4" s="1" t="s">
        <v>41</v>
      </c>
      <c r="T4" s="1" t="s">
        <v>42</v>
      </c>
    </row>
    <row r="5" customFormat="false" ht="18.55" hidden="false" customHeight="true" outlineLevel="0" collapsed="false">
      <c r="A5" s="3" t="s">
        <v>43</v>
      </c>
      <c r="B5" s="3" t="s">
        <v>44</v>
      </c>
      <c r="C5" s="2" t="s">
        <v>32</v>
      </c>
      <c r="D5" s="3" t="s">
        <v>45</v>
      </c>
      <c r="E5" s="3" t="s">
        <v>46</v>
      </c>
      <c r="F5" s="3" t="s">
        <v>47</v>
      </c>
      <c r="G5" s="3" t="s">
        <v>48</v>
      </c>
      <c r="H5" s="2" t="n">
        <v>0.99</v>
      </c>
      <c r="I5" s="2" t="n">
        <v>0.97</v>
      </c>
      <c r="J5" s="2" t="n">
        <v>1</v>
      </c>
      <c r="K5" s="2" t="n">
        <v>0.998</v>
      </c>
      <c r="L5" s="2" t="n">
        <v>0.997</v>
      </c>
      <c r="M5" s="2" t="n">
        <v>0.999</v>
      </c>
      <c r="N5" s="4" t="n">
        <v>44099</v>
      </c>
      <c r="O5" s="4" t="n">
        <v>44160</v>
      </c>
      <c r="P5" s="2" t="s">
        <v>27</v>
      </c>
      <c r="Q5" s="5" t="s">
        <v>27</v>
      </c>
      <c r="R5" s="2" t="n">
        <v>41.6</v>
      </c>
      <c r="S5" s="1" t="s">
        <v>28</v>
      </c>
      <c r="T5" s="1" t="s">
        <v>49</v>
      </c>
    </row>
    <row r="6" customFormat="false" ht="18.55" hidden="false" customHeight="true" outlineLevel="0" collapsed="false">
      <c r="A6" s="1" t="s">
        <v>50</v>
      </c>
      <c r="B6" s="1" t="s">
        <v>51</v>
      </c>
      <c r="C6" s="2" t="s">
        <v>22</v>
      </c>
      <c r="D6" s="3" t="s">
        <v>52</v>
      </c>
      <c r="E6" s="3" t="s">
        <v>53</v>
      </c>
      <c r="F6" s="3" t="s">
        <v>54</v>
      </c>
      <c r="G6" s="3" t="s">
        <v>55</v>
      </c>
      <c r="H6" s="2" t="n">
        <v>0.95</v>
      </c>
      <c r="I6" s="2" t="s">
        <v>27</v>
      </c>
      <c r="J6" s="2" t="s">
        <v>27</v>
      </c>
      <c r="K6" s="2" t="n">
        <v>1</v>
      </c>
      <c r="L6" s="2" t="n">
        <v>0.977</v>
      </c>
      <c r="M6" s="2" t="n">
        <v>1</v>
      </c>
      <c r="N6" s="4" t="n">
        <v>43931</v>
      </c>
      <c r="O6" s="4" t="n">
        <v>43939</v>
      </c>
      <c r="P6" s="5" t="n">
        <v>43800</v>
      </c>
      <c r="Q6" s="5" t="s">
        <v>27</v>
      </c>
      <c r="R6" s="2" t="s">
        <v>27</v>
      </c>
      <c r="S6" s="1" t="s">
        <v>56</v>
      </c>
      <c r="T6" s="1" t="s">
        <v>57</v>
      </c>
    </row>
    <row r="7" customFormat="false" ht="18.55" hidden="false" customHeight="true" outlineLevel="0" collapsed="false">
      <c r="A7" s="3" t="s">
        <v>58</v>
      </c>
      <c r="B7" s="3" t="s">
        <v>59</v>
      </c>
      <c r="C7" s="2" t="s">
        <v>60</v>
      </c>
      <c r="D7" s="3" t="s">
        <v>61</v>
      </c>
      <c r="E7" s="3" t="s">
        <v>62</v>
      </c>
      <c r="F7" s="3" t="s">
        <v>47</v>
      </c>
      <c r="G7" s="3" t="s">
        <v>63</v>
      </c>
      <c r="H7" s="2" t="n">
        <v>0.926</v>
      </c>
      <c r="I7" s="2" t="n">
        <v>0.873</v>
      </c>
      <c r="J7" s="2" t="n">
        <v>0.958</v>
      </c>
      <c r="K7" s="2" t="n">
        <v>0.992</v>
      </c>
      <c r="L7" s="2" t="n">
        <v>0.971</v>
      </c>
      <c r="M7" s="2" t="n">
        <v>0.998</v>
      </c>
      <c r="N7" s="4" t="n">
        <v>44027</v>
      </c>
      <c r="O7" s="4" t="n">
        <v>44150</v>
      </c>
      <c r="P7" s="2" t="s">
        <v>27</v>
      </c>
      <c r="Q7" s="2" t="s">
        <v>64</v>
      </c>
      <c r="R7" s="2" t="n">
        <v>42</v>
      </c>
      <c r="S7" s="1" t="s">
        <v>56</v>
      </c>
      <c r="T7" s="1" t="s">
        <v>65</v>
      </c>
    </row>
    <row r="8" customFormat="false" ht="18.55" hidden="false" customHeight="true" outlineLevel="0" collapsed="false">
      <c r="A8" s="3" t="s">
        <v>66</v>
      </c>
      <c r="B8" s="3" t="s">
        <v>67</v>
      </c>
      <c r="C8" s="2" t="s">
        <v>22</v>
      </c>
      <c r="D8" s="3" t="s">
        <v>68</v>
      </c>
      <c r="E8" s="3" t="s">
        <v>69</v>
      </c>
      <c r="F8" s="3" t="s">
        <v>47</v>
      </c>
      <c r="G8" s="3" t="s">
        <v>70</v>
      </c>
      <c r="H8" s="2" t="n">
        <v>0.967</v>
      </c>
      <c r="I8" s="2" t="n">
        <v>0.924</v>
      </c>
      <c r="J8" s="2" t="n">
        <v>0.986</v>
      </c>
      <c r="K8" s="2" t="n">
        <v>0.995</v>
      </c>
      <c r="L8" s="2" t="n">
        <v>0.987</v>
      </c>
      <c r="M8" s="2" t="n">
        <v>0.998</v>
      </c>
      <c r="N8" s="4" t="n">
        <v>44058</v>
      </c>
      <c r="O8" s="4" t="n">
        <v>44176</v>
      </c>
      <c r="P8" s="2" t="s">
        <v>71</v>
      </c>
      <c r="Q8" s="2" t="s">
        <v>27</v>
      </c>
      <c r="R8" s="2" t="s">
        <v>27</v>
      </c>
      <c r="S8" s="1" t="s">
        <v>28</v>
      </c>
      <c r="T8" s="1" t="s">
        <v>72</v>
      </c>
    </row>
    <row r="9" customFormat="false" ht="18.55" hidden="false" customHeight="true" outlineLevel="0" collapsed="false">
      <c r="A9" s="3" t="s">
        <v>73</v>
      </c>
      <c r="B9" s="3" t="s">
        <v>74</v>
      </c>
      <c r="C9" s="2" t="s">
        <v>22</v>
      </c>
      <c r="D9" s="3" t="s">
        <v>75</v>
      </c>
      <c r="E9" s="3" t="s">
        <v>76</v>
      </c>
      <c r="F9" s="3" t="s">
        <v>47</v>
      </c>
      <c r="G9" s="3" t="s">
        <v>77</v>
      </c>
      <c r="H9" s="2" t="n">
        <v>1</v>
      </c>
      <c r="I9" s="2" t="n">
        <v>0.916</v>
      </c>
      <c r="J9" s="2" t="n">
        <v>1</v>
      </c>
      <c r="K9" s="2" t="n">
        <v>0.977</v>
      </c>
      <c r="L9" s="2" t="n">
        <v>0.919</v>
      </c>
      <c r="M9" s="2" t="n">
        <v>0.996</v>
      </c>
      <c r="N9" s="4" t="n">
        <v>43953</v>
      </c>
      <c r="O9" s="4" t="n">
        <v>44165</v>
      </c>
      <c r="P9" s="5" t="n">
        <v>43862</v>
      </c>
      <c r="Q9" s="2" t="s">
        <v>27</v>
      </c>
      <c r="R9" s="2" t="n">
        <v>51.1</v>
      </c>
      <c r="S9" s="1" t="s">
        <v>28</v>
      </c>
      <c r="T9" s="1" t="s">
        <v>78</v>
      </c>
    </row>
    <row r="10" customFormat="false" ht="18.55" hidden="false" customHeight="true" outlineLevel="0" collapsed="false">
      <c r="A10" s="1" t="s">
        <v>79</v>
      </c>
      <c r="B10" s="1" t="s">
        <v>80</v>
      </c>
      <c r="C10" s="2" t="s">
        <v>32</v>
      </c>
      <c r="D10" s="3" t="s">
        <v>81</v>
      </c>
      <c r="E10" s="3" t="s">
        <v>76</v>
      </c>
      <c r="F10" s="3" t="s">
        <v>47</v>
      </c>
      <c r="G10" s="3" t="s">
        <v>77</v>
      </c>
      <c r="H10" s="2" t="n">
        <v>0.883</v>
      </c>
      <c r="I10" s="2" t="n">
        <v>0.83</v>
      </c>
      <c r="J10" s="2" t="n">
        <v>0.921</v>
      </c>
      <c r="K10" s="2" t="n">
        <v>0.992</v>
      </c>
      <c r="L10" s="2" t="n">
        <v>0.98</v>
      </c>
      <c r="M10" s="2" t="n">
        <v>0.997</v>
      </c>
      <c r="N10" s="4" t="n">
        <v>43971</v>
      </c>
      <c r="O10" s="4" t="n">
        <v>43991</v>
      </c>
      <c r="P10" s="5" t="n">
        <v>43862</v>
      </c>
      <c r="Q10" s="2" t="s">
        <v>27</v>
      </c>
      <c r="R10" s="2" t="s">
        <v>27</v>
      </c>
      <c r="S10" s="1" t="s">
        <v>28</v>
      </c>
      <c r="T10" s="1" t="s">
        <v>82</v>
      </c>
    </row>
    <row r="11" customFormat="false" ht="18.55" hidden="false" customHeight="true" outlineLevel="0" collapsed="false">
      <c r="A11" s="1" t="s">
        <v>83</v>
      </c>
      <c r="B11" s="1" t="s">
        <v>84</v>
      </c>
      <c r="C11" s="2" t="s">
        <v>32</v>
      </c>
      <c r="D11" s="3" t="s">
        <v>85</v>
      </c>
      <c r="E11" s="1" t="s">
        <v>86</v>
      </c>
      <c r="F11" s="3" t="s">
        <v>87</v>
      </c>
      <c r="G11" s="1" t="s">
        <v>88</v>
      </c>
      <c r="H11" s="1" t="n">
        <v>1</v>
      </c>
      <c r="I11" s="1" t="n">
        <v>0.94</v>
      </c>
      <c r="J11" s="1" t="n">
        <v>1</v>
      </c>
      <c r="K11" s="1" t="n">
        <v>1</v>
      </c>
      <c r="L11" s="1" t="n">
        <v>0.952</v>
      </c>
      <c r="M11" s="1" t="n">
        <v>1</v>
      </c>
      <c r="N11" s="7" t="s">
        <v>89</v>
      </c>
      <c r="O11" s="7" t="s">
        <v>90</v>
      </c>
      <c r="P11" s="5" t="s">
        <v>27</v>
      </c>
      <c r="Q11" s="2" t="s">
        <v>64</v>
      </c>
      <c r="R11" s="2" t="s">
        <v>91</v>
      </c>
      <c r="S11" s="1" t="s">
        <v>28</v>
      </c>
      <c r="T11" s="1" t="s">
        <v>92</v>
      </c>
    </row>
    <row r="12" customFormat="false" ht="19" hidden="false" customHeight="true" outlineLevel="0" collapsed="false">
      <c r="A12" s="3" t="s">
        <v>93</v>
      </c>
      <c r="B12" s="3" t="s">
        <v>94</v>
      </c>
      <c r="C12" s="2" t="s">
        <v>22</v>
      </c>
      <c r="D12" s="3" t="s">
        <v>95</v>
      </c>
      <c r="E12" s="3" t="s">
        <v>96</v>
      </c>
      <c r="F12" s="3" t="s">
        <v>97</v>
      </c>
      <c r="G12" s="3" t="s">
        <v>35</v>
      </c>
      <c r="H12" s="2" t="n">
        <v>1</v>
      </c>
      <c r="I12" s="2" t="n">
        <v>0.9589</v>
      </c>
      <c r="J12" s="2" t="n">
        <v>1</v>
      </c>
      <c r="K12" s="2" t="n">
        <v>0.996</v>
      </c>
      <c r="L12" s="2" t="n">
        <v>0.99</v>
      </c>
      <c r="M12" s="2" t="n">
        <v>0.999</v>
      </c>
      <c r="N12" s="4" t="n">
        <v>43952</v>
      </c>
      <c r="O12" s="4" t="n">
        <v>43967</v>
      </c>
      <c r="P12" s="5" t="n">
        <v>43833</v>
      </c>
      <c r="Q12" s="2" t="s">
        <v>27</v>
      </c>
      <c r="R12" s="2" t="n">
        <v>48.7</v>
      </c>
      <c r="S12" s="1" t="s">
        <v>41</v>
      </c>
      <c r="T12" s="1" t="s">
        <v>98</v>
      </c>
    </row>
    <row r="13" customFormat="false" ht="18.55" hidden="false" customHeight="true" outlineLevel="0" collapsed="false">
      <c r="A13" s="1" t="s">
        <v>99</v>
      </c>
      <c r="B13" s="1" t="s">
        <v>100</v>
      </c>
      <c r="C13" s="2" t="s">
        <v>22</v>
      </c>
      <c r="D13" s="3" t="s">
        <v>101</v>
      </c>
      <c r="E13" s="3" t="s">
        <v>96</v>
      </c>
      <c r="F13" s="3" t="s">
        <v>97</v>
      </c>
      <c r="G13" s="3" t="s">
        <v>35</v>
      </c>
      <c r="H13" s="2" t="n">
        <v>1</v>
      </c>
      <c r="I13" s="2" t="n">
        <v>0.9589</v>
      </c>
      <c r="J13" s="2" t="n">
        <v>1</v>
      </c>
      <c r="K13" s="2" t="n">
        <v>0.996</v>
      </c>
      <c r="L13" s="2" t="n">
        <v>0.99</v>
      </c>
      <c r="M13" s="2" t="n">
        <v>0.999</v>
      </c>
      <c r="N13" s="4" t="n">
        <v>44061</v>
      </c>
      <c r="O13" s="4" t="n">
        <v>44094</v>
      </c>
      <c r="P13" s="5" t="n">
        <v>43891</v>
      </c>
      <c r="Q13" s="2" t="s">
        <v>27</v>
      </c>
      <c r="R13" s="2" t="n">
        <v>37</v>
      </c>
      <c r="S13" s="1" t="s">
        <v>41</v>
      </c>
      <c r="T13" s="1" t="s">
        <v>102</v>
      </c>
    </row>
    <row r="14" customFormat="false" ht="18.55" hidden="false" customHeight="true" outlineLevel="0" collapsed="false">
      <c r="A14" s="1" t="s">
        <v>103</v>
      </c>
      <c r="B14" s="1" t="s">
        <v>104</v>
      </c>
      <c r="C14" s="2" t="s">
        <v>60</v>
      </c>
      <c r="D14" s="3" t="s">
        <v>105</v>
      </c>
      <c r="E14" s="1" t="s">
        <v>106</v>
      </c>
      <c r="F14" s="3" t="s">
        <v>25</v>
      </c>
      <c r="G14" s="1" t="s">
        <v>107</v>
      </c>
      <c r="H14" s="2" t="n">
        <v>0.833</v>
      </c>
      <c r="I14" s="2" t="s">
        <v>27</v>
      </c>
      <c r="J14" s="2" t="s">
        <v>27</v>
      </c>
      <c r="K14" s="2" t="n">
        <v>1</v>
      </c>
      <c r="L14" s="2" t="s">
        <v>27</v>
      </c>
      <c r="M14" s="2" t="s">
        <v>27</v>
      </c>
      <c r="N14" s="7" t="s">
        <v>108</v>
      </c>
      <c r="O14" s="7" t="s">
        <v>109</v>
      </c>
      <c r="P14" s="5" t="s">
        <v>27</v>
      </c>
      <c r="Q14" s="2" t="s">
        <v>64</v>
      </c>
      <c r="R14" s="2" t="s">
        <v>27</v>
      </c>
      <c r="S14" s="1" t="s">
        <v>28</v>
      </c>
      <c r="T14" s="1" t="s">
        <v>110</v>
      </c>
    </row>
    <row r="15" customFormat="false" ht="18.55" hidden="false" customHeight="true" outlineLevel="0" collapsed="false">
      <c r="A15" s="1" t="s">
        <v>111</v>
      </c>
      <c r="B15" s="1" t="s">
        <v>112</v>
      </c>
      <c r="C15" s="2" t="s">
        <v>32</v>
      </c>
      <c r="D15" s="3" t="s">
        <v>113</v>
      </c>
      <c r="E15" s="3" t="s">
        <v>96</v>
      </c>
      <c r="F15" s="3" t="s">
        <v>97</v>
      </c>
      <c r="G15" s="3" t="s">
        <v>35</v>
      </c>
      <c r="H15" s="2" t="n">
        <v>0.939</v>
      </c>
      <c r="I15" s="2" t="n">
        <v>0.863</v>
      </c>
      <c r="J15" s="2" t="n">
        <v>0.98</v>
      </c>
      <c r="K15" s="2" t="n">
        <v>1</v>
      </c>
      <c r="L15" s="2" t="n">
        <v>0.991</v>
      </c>
      <c r="M15" s="2" t="n">
        <v>1</v>
      </c>
      <c r="N15" s="4" t="n">
        <v>44004</v>
      </c>
      <c r="O15" s="4" t="n">
        <v>44028</v>
      </c>
      <c r="P15" s="5" t="n">
        <v>43889</v>
      </c>
      <c r="Q15" s="2" t="s">
        <v>27</v>
      </c>
      <c r="R15" s="2" t="s">
        <v>27</v>
      </c>
      <c r="S15" s="1" t="s">
        <v>28</v>
      </c>
      <c r="T15" s="1" t="s">
        <v>114</v>
      </c>
    </row>
    <row r="16" customFormat="false" ht="18.55" hidden="false" customHeight="true" outlineLevel="0" collapsed="false">
      <c r="A16" s="1" t="s">
        <v>115</v>
      </c>
      <c r="B16" s="1" t="s">
        <v>116</v>
      </c>
      <c r="C16" s="2" t="s">
        <v>32</v>
      </c>
      <c r="D16" s="3" t="s">
        <v>117</v>
      </c>
      <c r="E16" s="3" t="s">
        <v>118</v>
      </c>
      <c r="F16" s="3" t="s">
        <v>25</v>
      </c>
      <c r="G16" s="3" t="s">
        <v>119</v>
      </c>
      <c r="H16" s="2" t="n">
        <v>0.974</v>
      </c>
      <c r="I16" s="2" t="n">
        <v>0.909</v>
      </c>
      <c r="J16" s="2" t="n">
        <v>0.993</v>
      </c>
      <c r="K16" s="2" t="n">
        <v>0.959</v>
      </c>
      <c r="L16" s="2" t="n">
        <v>0.948</v>
      </c>
      <c r="M16" s="2" t="n">
        <v>0.968</v>
      </c>
      <c r="N16" s="4" t="n">
        <v>43969</v>
      </c>
      <c r="O16" s="4" t="n">
        <v>43989</v>
      </c>
      <c r="P16" s="5" t="n">
        <v>43862</v>
      </c>
      <c r="Q16" s="2" t="s">
        <v>27</v>
      </c>
      <c r="R16" s="2" t="n">
        <v>48</v>
      </c>
      <c r="S16" s="1" t="s">
        <v>28</v>
      </c>
      <c r="T16" s="1" t="s">
        <v>120</v>
      </c>
    </row>
    <row r="17" customFormat="false" ht="18.55" hidden="false" customHeight="true" outlineLevel="0" collapsed="false">
      <c r="A17" s="3" t="s">
        <v>121</v>
      </c>
      <c r="B17" s="3" t="s">
        <v>122</v>
      </c>
      <c r="C17" s="2" t="s">
        <v>32</v>
      </c>
      <c r="D17" s="3" t="s">
        <v>123</v>
      </c>
      <c r="E17" s="3" t="s">
        <v>69</v>
      </c>
      <c r="F17" s="3" t="s">
        <v>47</v>
      </c>
      <c r="G17" s="3" t="s">
        <v>70</v>
      </c>
      <c r="H17" s="2" t="n">
        <v>0.98</v>
      </c>
      <c r="I17" s="2" t="n">
        <v>0.949</v>
      </c>
      <c r="J17" s="2" t="n">
        <v>0.992</v>
      </c>
      <c r="K17" s="2" t="n">
        <v>0.99</v>
      </c>
      <c r="L17" s="2" t="n">
        <v>0.92508170287622</v>
      </c>
      <c r="M17" s="2" t="n">
        <v>0.999999999671554</v>
      </c>
      <c r="N17" s="8" t="s">
        <v>124</v>
      </c>
      <c r="O17" s="8" t="s">
        <v>125</v>
      </c>
      <c r="P17" s="2" t="s">
        <v>27</v>
      </c>
      <c r="Q17" s="2" t="s">
        <v>126</v>
      </c>
      <c r="R17" s="2" t="n">
        <v>26</v>
      </c>
      <c r="S17" s="1" t="s">
        <v>28</v>
      </c>
      <c r="T17" s="1" t="s">
        <v>127</v>
      </c>
    </row>
    <row r="18" customFormat="false" ht="18.55" hidden="false" customHeight="true" outlineLevel="0" collapsed="false">
      <c r="A18" s="3" t="s">
        <v>128</v>
      </c>
      <c r="B18" s="3" t="s">
        <v>129</v>
      </c>
      <c r="C18" s="2" t="s">
        <v>32</v>
      </c>
      <c r="D18" s="3" t="s">
        <v>130</v>
      </c>
      <c r="E18" s="3" t="s">
        <v>131</v>
      </c>
      <c r="F18" s="3" t="s">
        <v>97</v>
      </c>
      <c r="G18" s="3" t="s">
        <v>132</v>
      </c>
      <c r="H18" s="2" t="n">
        <v>0.9</v>
      </c>
      <c r="I18" s="2" t="n">
        <v>0.887</v>
      </c>
      <c r="J18" s="2" t="n">
        <v>1</v>
      </c>
      <c r="K18" s="2" t="n">
        <v>1</v>
      </c>
      <c r="L18" s="2" t="n">
        <v>0.954</v>
      </c>
      <c r="M18" s="2" t="n">
        <v>1</v>
      </c>
      <c r="N18" s="4" t="n">
        <v>44119</v>
      </c>
      <c r="O18" s="4" t="n">
        <v>44151</v>
      </c>
      <c r="P18" s="2" t="s">
        <v>27</v>
      </c>
      <c r="Q18" s="2" t="s">
        <v>27</v>
      </c>
      <c r="S18" s="1" t="s">
        <v>28</v>
      </c>
      <c r="T18" s="1" t="s">
        <v>133</v>
      </c>
    </row>
    <row r="19" customFormat="false" ht="18.55" hidden="false" customHeight="true" outlineLevel="0" collapsed="false">
      <c r="A19" s="1" t="s">
        <v>134</v>
      </c>
      <c r="B19" s="1" t="s">
        <v>135</v>
      </c>
      <c r="C19" s="2" t="s">
        <v>22</v>
      </c>
      <c r="D19" s="3" t="s">
        <v>136</v>
      </c>
      <c r="E19" s="3" t="s">
        <v>137</v>
      </c>
      <c r="F19" s="3" t="s">
        <v>97</v>
      </c>
      <c r="G19" s="3" t="s">
        <v>48</v>
      </c>
      <c r="H19" s="2" t="n">
        <v>0.9202</v>
      </c>
      <c r="I19" s="2" t="n">
        <v>0.8857</v>
      </c>
      <c r="J19" s="2" t="n">
        <v>0.945</v>
      </c>
      <c r="K19" s="2" t="n">
        <v>0.9952</v>
      </c>
      <c r="L19" s="2" t="n">
        <v>0.9735</v>
      </c>
      <c r="M19" s="2" t="n">
        <v>0.9992</v>
      </c>
      <c r="N19" s="4" t="n">
        <v>44058</v>
      </c>
      <c r="O19" s="4" t="n">
        <v>44150</v>
      </c>
      <c r="P19" s="5" t="n">
        <v>43891</v>
      </c>
      <c r="Q19" s="2" t="s">
        <v>27</v>
      </c>
      <c r="S19" s="1" t="s">
        <v>138</v>
      </c>
      <c r="T19" s="1" t="s">
        <v>139</v>
      </c>
    </row>
    <row r="20" customFormat="false" ht="18.55" hidden="false" customHeight="true" outlineLevel="0" collapsed="false">
      <c r="A20" s="1" t="s">
        <v>140</v>
      </c>
      <c r="B20" s="1" t="s">
        <v>141</v>
      </c>
      <c r="C20" s="2" t="s">
        <v>22</v>
      </c>
      <c r="D20" s="3" t="s">
        <v>142</v>
      </c>
      <c r="E20" s="3" t="s">
        <v>27</v>
      </c>
      <c r="F20" s="3" t="s">
        <v>47</v>
      </c>
      <c r="G20" s="3" t="s">
        <v>27</v>
      </c>
      <c r="H20" s="2" t="n">
        <v>0.844</v>
      </c>
      <c r="I20" s="2" t="n">
        <v>0.759</v>
      </c>
      <c r="J20" s="2" t="n">
        <v>0.903</v>
      </c>
      <c r="K20" s="2" t="n">
        <v>1</v>
      </c>
      <c r="L20" s="2" t="n">
        <v>0.99</v>
      </c>
      <c r="M20" s="2" t="n">
        <v>1</v>
      </c>
      <c r="N20" s="4" t="n">
        <v>43921</v>
      </c>
      <c r="O20" s="4" t="n">
        <v>43962</v>
      </c>
      <c r="P20" s="2" t="s">
        <v>27</v>
      </c>
      <c r="Q20" s="2" t="s">
        <v>27</v>
      </c>
      <c r="R20" s="2" t="s">
        <v>27</v>
      </c>
      <c r="S20" s="1" t="s">
        <v>143</v>
      </c>
      <c r="T20" s="1" t="s">
        <v>144</v>
      </c>
    </row>
    <row r="21" customFormat="false" ht="18.55" hidden="false" customHeight="true" outlineLevel="0" collapsed="false">
      <c r="A21" s="1" t="s">
        <v>145</v>
      </c>
      <c r="B21" s="1" t="s">
        <v>146</v>
      </c>
      <c r="C21" s="2" t="s">
        <v>60</v>
      </c>
      <c r="D21" s="3" t="s">
        <v>147</v>
      </c>
      <c r="E21" s="3" t="s">
        <v>148</v>
      </c>
      <c r="F21" s="3" t="s">
        <v>27</v>
      </c>
      <c r="G21" s="3" t="s">
        <v>27</v>
      </c>
      <c r="H21" s="2" t="n">
        <v>0.98</v>
      </c>
      <c r="I21" s="2" t="n">
        <v>0.949</v>
      </c>
      <c r="J21" s="2" t="n">
        <v>0.992</v>
      </c>
      <c r="K21" s="2" t="n">
        <v>0.99</v>
      </c>
      <c r="L21" s="2" t="s">
        <v>27</v>
      </c>
      <c r="M21" s="2" t="s">
        <v>27</v>
      </c>
      <c r="N21" s="4" t="n">
        <v>44173</v>
      </c>
      <c r="O21" s="4" t="n">
        <v>44180</v>
      </c>
      <c r="P21" s="2" t="s">
        <v>27</v>
      </c>
      <c r="Q21" s="2" t="s">
        <v>27</v>
      </c>
      <c r="R21" s="2" t="s">
        <v>27</v>
      </c>
      <c r="S21" s="1" t="s">
        <v>41</v>
      </c>
      <c r="T21" s="1" t="s">
        <v>149</v>
      </c>
    </row>
    <row r="22" customFormat="false" ht="18.55" hidden="false" customHeight="true" outlineLevel="0" collapsed="false">
      <c r="A22" s="1" t="s">
        <v>150</v>
      </c>
      <c r="B22" s="1" t="s">
        <v>151</v>
      </c>
      <c r="C22" s="2" t="s">
        <v>32</v>
      </c>
      <c r="D22" s="3" t="s">
        <v>152</v>
      </c>
      <c r="E22" s="3" t="s">
        <v>46</v>
      </c>
      <c r="F22" s="3" t="s">
        <v>97</v>
      </c>
      <c r="G22" s="3" t="s">
        <v>48</v>
      </c>
      <c r="H22" s="9" t="n">
        <v>0.972</v>
      </c>
      <c r="I22" s="9" t="n">
        <v>0.954</v>
      </c>
      <c r="J22" s="9" t="n">
        <v>0.984</v>
      </c>
      <c r="K22" s="9" t="n">
        <v>0.998</v>
      </c>
      <c r="L22" s="9" t="n">
        <v>0.993</v>
      </c>
      <c r="M22" s="9" t="n">
        <v>1</v>
      </c>
      <c r="N22" s="4" t="n">
        <v>43936</v>
      </c>
      <c r="O22" s="4" t="n">
        <v>44065</v>
      </c>
      <c r="P22" s="2" t="s">
        <v>27</v>
      </c>
      <c r="Q22" s="2" t="s">
        <v>153</v>
      </c>
      <c r="R22" s="2" t="n">
        <f aca="false">(26.2+25.9+27.1+28.5+24.32+26)/6</f>
        <v>26.3366666666667</v>
      </c>
      <c r="S22" s="1" t="s">
        <v>41</v>
      </c>
      <c r="T22" s="1" t="s">
        <v>154</v>
      </c>
    </row>
    <row r="23" customFormat="false" ht="18.55" hidden="false" customHeight="true" outlineLevel="0" collapsed="false">
      <c r="A23" s="1" t="s">
        <v>155</v>
      </c>
      <c r="B23" s="1" t="s">
        <v>156</v>
      </c>
      <c r="C23" s="2" t="s">
        <v>60</v>
      </c>
      <c r="D23" s="3" t="s">
        <v>157</v>
      </c>
      <c r="E23" s="3" t="s">
        <v>158</v>
      </c>
      <c r="F23" s="3" t="s">
        <v>25</v>
      </c>
      <c r="G23" s="3" t="s">
        <v>159</v>
      </c>
      <c r="H23" s="2" t="n">
        <v>0.667</v>
      </c>
      <c r="I23" s="2" t="n">
        <v>0.49</v>
      </c>
      <c r="J23" s="2" t="n">
        <v>0.782</v>
      </c>
      <c r="K23" s="2" t="n">
        <v>0.97</v>
      </c>
      <c r="L23" s="2" t="n">
        <v>0.943</v>
      </c>
      <c r="M23" s="2" t="n">
        <v>0.982</v>
      </c>
      <c r="N23" s="4" t="n">
        <v>44036</v>
      </c>
      <c r="O23" s="4" t="n">
        <v>44022</v>
      </c>
      <c r="P23" s="2" t="s">
        <v>27</v>
      </c>
      <c r="Q23" s="2" t="s">
        <v>27</v>
      </c>
      <c r="R23" s="2" t="s">
        <v>27</v>
      </c>
      <c r="S23" s="1" t="s">
        <v>143</v>
      </c>
      <c r="T23" s="1" t="s">
        <v>160</v>
      </c>
    </row>
    <row r="24" customFormat="false" ht="18.55" hidden="false" customHeight="true" outlineLevel="0" collapsed="false">
      <c r="A24" s="1" t="s">
        <v>161</v>
      </c>
      <c r="B24" s="1" t="s">
        <v>162</v>
      </c>
      <c r="C24" s="2" t="s">
        <v>22</v>
      </c>
      <c r="D24" s="3" t="s">
        <v>163</v>
      </c>
      <c r="E24" s="3" t="s">
        <v>164</v>
      </c>
      <c r="F24" s="3" t="s">
        <v>97</v>
      </c>
      <c r="G24" s="3" t="s">
        <v>165</v>
      </c>
      <c r="H24" s="2" t="n">
        <v>0.981</v>
      </c>
      <c r="I24" s="2" t="n">
        <v>0.965</v>
      </c>
      <c r="J24" s="2" t="n">
        <v>0.99</v>
      </c>
      <c r="K24" s="2" t="n">
        <v>0.999</v>
      </c>
      <c r="L24" s="2" t="n">
        <v>0.994</v>
      </c>
      <c r="M24" s="2" t="n">
        <v>1</v>
      </c>
      <c r="N24" s="4" t="n">
        <v>44082</v>
      </c>
      <c r="O24" s="4" t="n">
        <v>44118</v>
      </c>
      <c r="P24" s="2" t="s">
        <v>27</v>
      </c>
      <c r="Q24" s="2" t="s">
        <v>27</v>
      </c>
      <c r="R24" s="2" t="n">
        <v>43.3</v>
      </c>
      <c r="S24" s="1" t="s">
        <v>143</v>
      </c>
      <c r="T24" s="1" t="s">
        <v>166</v>
      </c>
    </row>
    <row r="25" customFormat="false" ht="18.55" hidden="false" customHeight="true" outlineLevel="0" collapsed="false">
      <c r="A25" s="1" t="s">
        <v>167</v>
      </c>
      <c r="B25" s="1" t="s">
        <v>168</v>
      </c>
      <c r="C25" s="2" t="s">
        <v>22</v>
      </c>
      <c r="D25" s="3" t="s">
        <v>169</v>
      </c>
      <c r="F25" s="10" t="s">
        <v>170</v>
      </c>
      <c r="G25" s="3" t="s">
        <v>170</v>
      </c>
      <c r="H25" s="9" t="n">
        <v>0.805097416435703</v>
      </c>
      <c r="I25" s="9" t="n">
        <v>0.618396816995291</v>
      </c>
      <c r="J25" s="9" t="n">
        <v>0.925687705962182</v>
      </c>
      <c r="K25" s="9" t="n">
        <v>0.986143499642817</v>
      </c>
      <c r="L25" s="9" t="n">
        <v>0.921731178149713</v>
      </c>
      <c r="M25" s="9" t="n">
        <v>0.999368874999585</v>
      </c>
      <c r="N25" s="4" t="n">
        <v>44129</v>
      </c>
      <c r="O25" s="4" t="n">
        <v>44161</v>
      </c>
      <c r="P25" s="2" t="s">
        <v>27</v>
      </c>
      <c r="Q25" s="2" t="s">
        <v>171</v>
      </c>
      <c r="R25" s="2" t="n">
        <v>29.2</v>
      </c>
      <c r="S25" s="1" t="s">
        <v>138</v>
      </c>
      <c r="T25" s="1" t="s">
        <v>172</v>
      </c>
    </row>
    <row r="26" customFormat="false" ht="18.55" hidden="false" customHeight="true" outlineLevel="0" collapsed="false">
      <c r="A26" s="3" t="s">
        <v>173</v>
      </c>
      <c r="B26" s="3" t="s">
        <v>174</v>
      </c>
      <c r="C26" s="2" t="s">
        <v>22</v>
      </c>
      <c r="D26" s="3" t="s">
        <v>175</v>
      </c>
      <c r="E26" s="3" t="s">
        <v>96</v>
      </c>
      <c r="F26" s="3" t="s">
        <v>176</v>
      </c>
      <c r="G26" s="3" t="s">
        <v>35</v>
      </c>
      <c r="H26" s="2" t="n">
        <v>0.906</v>
      </c>
      <c r="I26" s="2" t="n">
        <v>0.881</v>
      </c>
      <c r="J26" s="2" t="n">
        <v>0.926</v>
      </c>
      <c r="K26" s="2" t="n">
        <v>0.993</v>
      </c>
      <c r="L26" s="2" t="n">
        <v>0.99</v>
      </c>
      <c r="M26" s="2" t="n">
        <v>0.995</v>
      </c>
      <c r="N26" s="4" t="n">
        <v>43948</v>
      </c>
      <c r="O26" s="4" t="n">
        <v>44004</v>
      </c>
      <c r="P26" s="2" t="s">
        <v>27</v>
      </c>
      <c r="Q26" s="2" t="s">
        <v>27</v>
      </c>
      <c r="R26" s="2" t="s">
        <v>27</v>
      </c>
      <c r="S26" s="1" t="s">
        <v>28</v>
      </c>
      <c r="T26" s="11" t="s">
        <v>177</v>
      </c>
    </row>
    <row r="27" customFormat="false" ht="18.55" hidden="false" customHeight="true" outlineLevel="0" collapsed="false">
      <c r="A27" s="1" t="s">
        <v>178</v>
      </c>
      <c r="B27" s="1" t="s">
        <v>179</v>
      </c>
      <c r="C27" s="2" t="s">
        <v>60</v>
      </c>
      <c r="D27" s="3" t="s">
        <v>180</v>
      </c>
      <c r="E27" s="3" t="s">
        <v>76</v>
      </c>
      <c r="F27" s="3" t="s">
        <v>47</v>
      </c>
      <c r="G27" s="3" t="s">
        <v>77</v>
      </c>
      <c r="H27" s="2" t="n">
        <v>0.93</v>
      </c>
      <c r="I27" s="2" t="s">
        <v>27</v>
      </c>
      <c r="J27" s="2" t="s">
        <v>27</v>
      </c>
      <c r="K27" s="2" t="n">
        <v>1</v>
      </c>
      <c r="L27" s="2" t="s">
        <v>27</v>
      </c>
      <c r="M27" s="2" t="s">
        <v>27</v>
      </c>
      <c r="N27" s="4" t="n">
        <v>43927</v>
      </c>
      <c r="O27" s="4" t="n">
        <v>44012</v>
      </c>
      <c r="P27" s="5" t="n">
        <v>43831</v>
      </c>
      <c r="Q27" s="2" t="s">
        <v>27</v>
      </c>
      <c r="R27" s="2" t="n">
        <v>46.9</v>
      </c>
      <c r="S27" s="1" t="s">
        <v>28</v>
      </c>
      <c r="T27" s="1" t="s">
        <v>181</v>
      </c>
    </row>
    <row r="28" customFormat="false" ht="18.55" hidden="false" customHeight="true" outlineLevel="0" collapsed="false">
      <c r="A28" s="1" t="s">
        <v>182</v>
      </c>
      <c r="B28" s="1" t="s">
        <v>183</v>
      </c>
      <c r="C28" s="2" t="s">
        <v>22</v>
      </c>
      <c r="D28" s="3" t="s">
        <v>184</v>
      </c>
      <c r="E28" s="3" t="s">
        <v>185</v>
      </c>
      <c r="F28" s="3" t="s">
        <v>25</v>
      </c>
      <c r="G28" s="3" t="s">
        <v>186</v>
      </c>
      <c r="H28" s="2" t="n">
        <v>0.844</v>
      </c>
      <c r="I28" s="2" t="n">
        <v>0.705</v>
      </c>
      <c r="J28" s="2" t="n">
        <v>0.935</v>
      </c>
      <c r="K28" s="2" t="n">
        <v>0.986</v>
      </c>
      <c r="L28" s="2" t="n">
        <v>0.971</v>
      </c>
      <c r="M28" s="2" t="n">
        <v>0.994</v>
      </c>
      <c r="N28" s="8" t="s">
        <v>187</v>
      </c>
      <c r="O28" s="8" t="s">
        <v>188</v>
      </c>
      <c r="P28" s="2" t="s">
        <v>27</v>
      </c>
      <c r="Q28" s="2" t="s">
        <v>27</v>
      </c>
      <c r="R28" s="2" t="s">
        <v>27</v>
      </c>
      <c r="S28" s="1" t="s">
        <v>28</v>
      </c>
      <c r="T28" s="1" t="s">
        <v>189</v>
      </c>
    </row>
    <row r="29" customFormat="false" ht="19" hidden="false" customHeight="true" outlineLevel="0" collapsed="false">
      <c r="A29" s="1" t="s">
        <v>190</v>
      </c>
      <c r="B29" s="1" t="s">
        <v>191</v>
      </c>
      <c r="C29" s="2" t="s">
        <v>22</v>
      </c>
      <c r="D29" s="3" t="s">
        <v>192</v>
      </c>
      <c r="E29" s="3" t="s">
        <v>193</v>
      </c>
      <c r="F29" s="3" t="s">
        <v>47</v>
      </c>
      <c r="G29" s="3" t="s">
        <v>194</v>
      </c>
      <c r="H29" s="2" t="n">
        <v>0.98</v>
      </c>
      <c r="I29" s="2" t="n">
        <v>0.895</v>
      </c>
      <c r="J29" s="2" t="n">
        <v>0.996</v>
      </c>
      <c r="K29" s="2" t="n">
        <v>0.993</v>
      </c>
      <c r="L29" s="2" t="n">
        <v>0.983</v>
      </c>
      <c r="M29" s="2" t="n">
        <v>0.997</v>
      </c>
      <c r="N29" s="4" t="n">
        <v>44052</v>
      </c>
      <c r="O29" s="4" t="n">
        <v>44173</v>
      </c>
      <c r="P29" s="5" t="n">
        <v>43831</v>
      </c>
      <c r="Q29" s="2" t="s">
        <v>27</v>
      </c>
      <c r="R29" s="2" t="s">
        <v>27</v>
      </c>
      <c r="S29" s="1" t="s">
        <v>28</v>
      </c>
      <c r="T29" s="1" t="s">
        <v>195</v>
      </c>
    </row>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T12" r:id="rId1" display="The study did not specify sen or spe. However, it cited a link of Abott laboratories, the manufacturer of their assays, link: https://www.corelaboratory.abbott/us/en/offerings/segments/infectious-disease/sars-cov-2.html. Start date of recall is given in Table 1 of the study."/>
    <hyperlink ref="T29" r:id="rId2" display="Cis for sen and spe were obtained from the cited link: “https://www.fda.gov/medical-devices/covid-19-emergency-use-authorizations-medical-devices/eua-authorized-serology-test-performance”. Age group data, but median (or mean) age, was given"/>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2524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2025-12-23T16:45:36Z</dcterms:created>
  <dc:creator/>
  <dc:description/>
  <dc:language>en-US</dc:language>
  <cp:lastModifiedBy/>
  <dcterms:modified xsi:type="dcterms:W3CDTF">2025-12-26T14:36:06Z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