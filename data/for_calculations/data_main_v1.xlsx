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<sst xmlns="http://schemas.openxmlformats.org/spreadsheetml/2006/main" count="220" uniqueCount="154">
  <si>
    <t xml:space="preserve">country</t>
  </si>
  <si>
    <t xml:space="preserve">article</t>
  </si>
  <si>
    <t xml:space="preserve">n</t>
  </si>
  <si>
    <t xml:space="preserve">sp</t>
  </si>
  <si>
    <t xml:space="preserve">asym_sp</t>
  </si>
  <si>
    <t xml:space="preserve">sym_sp</t>
  </si>
  <si>
    <t xml:space="preserve">asym_sn</t>
  </si>
  <si>
    <t xml:space="preserve">sn</t>
  </si>
  <si>
    <t xml:space="preserve">sym_sn</t>
  </si>
  <si>
    <t xml:space="preserve">rho_c</t>
  </si>
  <si>
    <t xml:space="preserve">psi_c</t>
  </si>
  <si>
    <t xml:space="preserve">phi_c</t>
  </si>
  <si>
    <t xml:space="preserve">alpha</t>
  </si>
  <si>
    <t xml:space="preserve">alpha_l</t>
  </si>
  <si>
    <t xml:space="preserve">alpha_u</t>
  </si>
  <si>
    <t xml:space="preserve">beta</t>
  </si>
  <si>
    <t xml:space="preserve">beta_l</t>
  </si>
  <si>
    <t xml:space="preserve">beta_u</t>
  </si>
  <si>
    <t xml:space="preserve">start_date</t>
  </si>
  <si>
    <t xml:space="preserve">end_date</t>
  </si>
  <si>
    <t xml:space="preserve">recall_start_date</t>
  </si>
  <si>
    <t xml:space="preserve">recall_period</t>
  </si>
  <si>
    <t xml:space="preserve">mean_median_age</t>
  </si>
  <si>
    <t xml:space="preserve">psi_c_l</t>
  </si>
  <si>
    <t xml:space="preserve">psi_c_u</t>
  </si>
  <si>
    <t xml:space="preserve">rho_c_l</t>
  </si>
  <si>
    <t xml:space="preserve">rho_c_u</t>
  </si>
  <si>
    <t xml:space="preserve">phi_c_l</t>
  </si>
  <si>
    <t xml:space="preserve">phi_c_u</t>
  </si>
  <si>
    <t xml:space="preserve">alpha_a</t>
  </si>
  <si>
    <t xml:space="preserve">alpha_b</t>
  </si>
  <si>
    <t xml:space="preserve">beta_a</t>
  </si>
  <si>
    <t xml:space="preserve">beta_b</t>
  </si>
  <si>
    <t xml:space="preserve">num_sym</t>
  </si>
  <si>
    <t xml:space="preserve">Andorra</t>
  </si>
  <si>
    <t xml:space="preserve">Royo-Cebrecos et al.</t>
  </si>
  <si>
    <t xml:space="preserve">NA</t>
  </si>
  <si>
    <t xml:space="preserve">Later</t>
  </si>
  <si>
    <t xml:space="preserve">Brazil</t>
  </si>
  <si>
    <t xml:space="preserve">Menezes et al.</t>
  </si>
  <si>
    <t xml:space="preserve">Jun 21, 20</t>
  </si>
  <si>
    <t xml:space="preserve">Jun 24, 20</t>
  </si>
  <si>
    <t xml:space="preserve">03/01/20</t>
  </si>
  <si>
    <t xml:space="preserve">Cameroon</t>
  </si>
  <si>
    <t xml:space="preserve">Nwosu et al.</t>
  </si>
  <si>
    <t xml:space="preserve">Oct 14, 20</t>
  </si>
  <si>
    <t xml:space="preserve">Nov 26, 20</t>
  </si>
  <si>
    <t xml:space="preserve">Canada</t>
  </si>
  <si>
    <t xml:space="preserve">Tang et al.</t>
  </si>
  <si>
    <t xml:space="preserve">Jan 30, 20</t>
  </si>
  <si>
    <t xml:space="preserve">Chile</t>
  </si>
  <si>
    <t xml:space="preserve">Vial et al.</t>
  </si>
  <si>
    <t xml:space="preserve">Sep 25, 20</t>
  </si>
  <si>
    <t xml:space="preserve">Nov 25, 20</t>
  </si>
  <si>
    <t xml:space="preserve">China</t>
  </si>
  <si>
    <t xml:space="preserve">Li et al</t>
  </si>
  <si>
    <t xml:space="preserve">Apr 10, 20</t>
  </si>
  <si>
    <t xml:space="preserve">Apr 18, 20</t>
  </si>
  <si>
    <t xml:space="preserve">12/01/19</t>
  </si>
  <si>
    <t xml:space="preserve">Colombia</t>
  </si>
  <si>
    <t xml:space="preserve">Garay et al.</t>
  </si>
  <si>
    <t xml:space="preserve">Jul 15, 20</t>
  </si>
  <si>
    <t xml:space="preserve">Nov 15, 20</t>
  </si>
  <si>
    <t xml:space="preserve">3 months</t>
  </si>
  <si>
    <t xml:space="preserve">Denmark</t>
  </si>
  <si>
    <t xml:space="preserve">Espenhain et al</t>
  </si>
  <si>
    <t xml:space="preserve">Aug 15, 20</t>
  </si>
  <si>
    <t xml:space="preserve">Dec 11, 20</t>
  </si>
  <si>
    <t xml:space="preserve">1 Feb, 2020</t>
  </si>
  <si>
    <t xml:space="preserve">France</t>
  </si>
  <si>
    <t xml:space="preserve">Rouquette et al.</t>
  </si>
  <si>
    <t xml:space="preserve">May 2, 20</t>
  </si>
  <si>
    <t xml:space="preserve">Nov 30, 20</t>
  </si>
  <si>
    <t xml:space="preserve">02/01/20</t>
  </si>
  <si>
    <t xml:space="preserve">Germany</t>
  </si>
  <si>
    <t xml:space="preserve">Santos-Hovener et al.</t>
  </si>
  <si>
    <t xml:space="preserve">May 20, 20</t>
  </si>
  <si>
    <t xml:space="preserve">Jun 9, 20</t>
  </si>
  <si>
    <t xml:space="preserve">Guinea</t>
  </si>
  <si>
    <t xml:space="preserve">Soumah et al.</t>
  </si>
  <si>
    <t xml:space="preserve">Dec 2, 20</t>
  </si>
  <si>
    <t xml:space="preserve">Dec 16, 20</t>
  </si>
  <si>
    <t xml:space="preserve">Hungary</t>
  </si>
  <si>
    <t xml:space="preserve">Merkely et al.</t>
  </si>
  <si>
    <t xml:space="preserve">May 1, 20</t>
  </si>
  <si>
    <t xml:space="preserve">May 16, 20</t>
  </si>
  <si>
    <t xml:space="preserve">01/03/20</t>
  </si>
  <si>
    <t xml:space="preserve">India</t>
  </si>
  <si>
    <t xml:space="preserve">Murhekar et al.</t>
  </si>
  <si>
    <t xml:space="preserve">Aug 18, 20</t>
  </si>
  <si>
    <t xml:space="preserve">Sep 20, 20</t>
  </si>
  <si>
    <t xml:space="preserve">Iran</t>
  </si>
  <si>
    <t xml:space="preserve">Shakiba et al.</t>
  </si>
  <si>
    <t xml:space="preserve">Apr 11, 20</t>
  </si>
  <si>
    <t xml:space="preserve">Apr 19, 20</t>
  </si>
  <si>
    <t xml:space="preserve">Ireland</t>
  </si>
  <si>
    <t xml:space="preserve">Heavey et al.</t>
  </si>
  <si>
    <t xml:space="preserve">Jun 22, 20</t>
  </si>
  <si>
    <t xml:space="preserve">Jul 16, 20</t>
  </si>
  <si>
    <t xml:space="preserve">02/28/20</t>
  </si>
  <si>
    <t xml:space="preserve">Italy</t>
  </si>
  <si>
    <t xml:space="preserve">Pagani et al.</t>
  </si>
  <si>
    <t xml:space="preserve">May 18, 20</t>
  </si>
  <si>
    <t xml:space="preserve">Jun 7, 20</t>
  </si>
  <si>
    <t xml:space="preserve">Kenya</t>
  </si>
  <si>
    <t xml:space="preserve">Ngere et al.</t>
  </si>
  <si>
    <t xml:space="preserve">Nov 2, 20</t>
  </si>
  <si>
    <t xml:space="preserve">Nov 23, 20</t>
  </si>
  <si>
    <t xml:space="preserve">12 months</t>
  </si>
  <si>
    <t xml:space="preserve">Maldives</t>
  </si>
  <si>
    <t xml:space="preserve">Abdul-Raheem et al.</t>
  </si>
  <si>
    <t xml:space="preserve">Oct 15, 20</t>
  </si>
  <si>
    <t xml:space="preserve">Nov 16, 20</t>
  </si>
  <si>
    <t xml:space="preserve">Mexico</t>
  </si>
  <si>
    <t xml:space="preserve">Basto-Abreu et al.</t>
  </si>
  <si>
    <t xml:space="preserve">Netherlands</t>
  </si>
  <si>
    <t xml:space="preserve">Vos et al.</t>
  </si>
  <si>
    <t xml:space="preserve">Mar 31, 20</t>
  </si>
  <si>
    <t xml:space="preserve">May 11, 20</t>
  </si>
  <si>
    <t xml:space="preserve">Nigeria</t>
  </si>
  <si>
    <t xml:space="preserve">Okpala et al.</t>
  </si>
  <si>
    <t xml:space="preserve">Dec 8, 20</t>
  </si>
  <si>
    <t xml:space="preserve">Dec 15, 20</t>
  </si>
  <si>
    <t xml:space="preserve">Pakistan</t>
  </si>
  <si>
    <t xml:space="preserve">Nisar et al.</t>
  </si>
  <si>
    <t xml:space="preserve">Apr 15, 20</t>
  </si>
  <si>
    <t xml:space="preserve">Aug 22, 20</t>
  </si>
  <si>
    <t xml:space="preserve">2 months</t>
  </si>
  <si>
    <t xml:space="preserve">Peru</t>
  </si>
  <si>
    <t xml:space="preserve">Diaz-Velez et al.</t>
  </si>
  <si>
    <t xml:space="preserve">Jul 24, 20</t>
  </si>
  <si>
    <t xml:space="preserve">Jul 10, 20</t>
  </si>
  <si>
    <t xml:space="preserve">Portugal</t>
  </si>
  <si>
    <t xml:space="preserve">Castro et al.</t>
  </si>
  <si>
    <t xml:space="preserve">Sep 8, 20</t>
  </si>
  <si>
    <t xml:space="preserve">Senegal</t>
  </si>
  <si>
    <t xml:space="preserve">Talla et al.</t>
  </si>
  <si>
    <t xml:space="preserve">Oct 25, 20</t>
  </si>
  <si>
    <t xml:space="preserve">6 months</t>
  </si>
  <si>
    <t xml:space="preserve">Spain</t>
  </si>
  <si>
    <t xml:space="preserve">Perez-Gomez et al.</t>
  </si>
  <si>
    <t xml:space="preserve">Apr 27, 20</t>
  </si>
  <si>
    <t xml:space="preserve">Switzerland</t>
  </si>
  <si>
    <t xml:space="preserve">Richard et al.</t>
  </si>
  <si>
    <t xml:space="preserve">Apr 6, 20</t>
  </si>
  <si>
    <t xml:space="preserve">Jun 30, 20</t>
  </si>
  <si>
    <t xml:space="preserve">01/01/20</t>
  </si>
  <si>
    <t xml:space="preserve">UK</t>
  </si>
  <si>
    <t xml:space="preserve">Ward et al.</t>
  </si>
  <si>
    <t xml:space="preserve">Jun 20, 20</t>
  </si>
  <si>
    <t xml:space="preserve">Jul 13, 20</t>
  </si>
  <si>
    <t xml:space="preserve">US</t>
  </si>
  <si>
    <t xml:space="preserve">Sullivan et al.</t>
  </si>
  <si>
    <t xml:space="preserve">Aug 9, 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</si>
</sst>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mmm\ d&quot;, &quot;yy"/>
    <numFmt numFmtId="167" formatCode="@"/>
    <numFmt numFmtId="168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true" showRowColHeaders="true" showZeros="true" rightToLeft="false" tabSelected="true" showOutlineSymbols="true" defaultGridColor="true" view="normal" topLeftCell="AB1" colorId="64" zoomScale="110" zoomScaleNormal="110" zoomScalePageLayoutView="100" workbookViewId="0">
      <selection pane="topLeft" activeCell="AI16" activeCellId="0" sqref="AI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24.25"/>
    <col collapsed="false" customWidth="true" hidden="false" outlineLevel="0" max="3" min="3" style="1" width="7.42"/>
    <col collapsed="false" customWidth="true" hidden="false" outlineLevel="0" max="4" min="4" style="1" width="5.47"/>
    <col collapsed="false" customWidth="true" hidden="false" outlineLevel="0" max="5" min="5" style="1" width="8.95"/>
    <col collapsed="false" customWidth="true" hidden="false" outlineLevel="0" max="6" min="6" style="1" width="7.97"/>
    <col collapsed="false" customWidth="true" hidden="false" outlineLevel="0" max="7" min="7" style="1" width="8.95"/>
    <col collapsed="false" customWidth="true" hidden="false" outlineLevel="0" max="8" min="8" style="1" width="7.42"/>
    <col collapsed="false" customWidth="true" hidden="false" outlineLevel="0" max="9" min="9" style="1" width="7.97"/>
    <col collapsed="false" customWidth="true" hidden="false" outlineLevel="0" max="10" min="10" style="1" width="6.02"/>
    <col collapsed="false" customWidth="true" hidden="false" outlineLevel="0" max="13" min="11" style="1" width="5.88"/>
    <col collapsed="false" customWidth="true" hidden="false" outlineLevel="0" max="14" min="14" style="1" width="7.27"/>
    <col collapsed="false" customWidth="true" hidden="false" outlineLevel="0" max="15" min="15" style="1" width="7.83"/>
    <col collapsed="false" customWidth="true" hidden="false" outlineLevel="0" max="16" min="16" style="1" width="6.02"/>
    <col collapsed="false" customWidth="true" hidden="false" outlineLevel="0" max="17" min="17" style="1" width="6.44"/>
    <col collapsed="false" customWidth="true" hidden="false" outlineLevel="0" max="18" min="18" style="1" width="7"/>
    <col collapsed="false" customWidth="true" hidden="false" outlineLevel="0" max="19" min="19" style="1" width="9.64"/>
    <col collapsed="false" customWidth="true" hidden="false" outlineLevel="0" max="20" min="20" style="1" width="11.03"/>
    <col collapsed="false" customWidth="true" hidden="false" outlineLevel="0" max="21" min="21" style="1" width="14.93"/>
    <col collapsed="false" customWidth="true" hidden="false" outlineLevel="0" max="22" min="22" style="1" width="11.73"/>
    <col collapsed="false" customWidth="true" hidden="false" outlineLevel="0" max="23" min="23" style="1" width="16.73"/>
    <col collapsed="false" customWidth="true" hidden="false" outlineLevel="0" max="24" min="24" style="1" width="7.27"/>
    <col collapsed="false" customWidth="true" hidden="false" outlineLevel="0" max="25" min="25" style="1" width="7.83"/>
    <col collapsed="false" customWidth="true" hidden="false" outlineLevel="0" max="26" min="26" style="1" width="7.42"/>
    <col collapsed="false" customWidth="true" hidden="false" outlineLevel="0" max="27" min="27" style="1" width="7.97"/>
    <col collapsed="false" customWidth="true" hidden="false" outlineLevel="0" max="28" min="28" style="1" width="7.27"/>
    <col collapsed="false" customWidth="true" hidden="false" outlineLevel="0" max="31" min="29" style="1" width="7.83"/>
    <col collapsed="false" customWidth="true" hidden="false" outlineLevel="0" max="32" min="32" style="1" width="7.96"/>
    <col collapsed="false" customWidth="true" hidden="false" outlineLevel="0" max="33" min="33" style="1" width="7"/>
    <col collapsed="false" customWidth="true" hidden="false" outlineLevel="0" max="34" min="34" style="1" width="9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2.8" hidden="false" customHeight="false" outlineLevel="0" collapsed="false">
      <c r="A2" s="1" t="s">
        <v>34</v>
      </c>
      <c r="B2" s="2" t="s">
        <v>35</v>
      </c>
      <c r="C2" s="1" t="n">
        <f aca="false">(34/0.15+313/0.179+6042/0.093)</f>
        <v>66943.0119541059</v>
      </c>
      <c r="D2" s="1" t="n">
        <f aca="false">34+313+6042</f>
        <v>6389</v>
      </c>
      <c r="E2" s="1" t="n">
        <v>6042</v>
      </c>
      <c r="F2" s="1" t="n">
        <f aca="false">D2-E2</f>
        <v>347</v>
      </c>
      <c r="G2" s="1" t="n">
        <f aca="false">(E2/0.093 - E2)</f>
        <v>58925.7419354839</v>
      </c>
      <c r="H2" s="1" t="n">
        <f aca="false">C2-D2</f>
        <v>60554.0119541059</v>
      </c>
      <c r="I2" s="1" t="n">
        <f aca="false">H2-G2</f>
        <v>1628.27001862198</v>
      </c>
      <c r="J2" s="1" t="n">
        <v>0.0954393866290347</v>
      </c>
      <c r="K2" s="1" t="n">
        <v>0.945687901079981</v>
      </c>
      <c r="L2" s="1" t="n">
        <v>0.026889548125334</v>
      </c>
      <c r="M2" s="3" t="n">
        <v>0.92</v>
      </c>
      <c r="N2" s="3" t="n">
        <v>0.84</v>
      </c>
      <c r="O2" s="3" t="n">
        <v>0.96</v>
      </c>
      <c r="P2" s="3" t="n">
        <v>1</v>
      </c>
      <c r="Q2" s="3" t="n">
        <v>0.95</v>
      </c>
      <c r="R2" s="3" t="n">
        <v>1</v>
      </c>
      <c r="S2" s="4" t="n">
        <v>43955</v>
      </c>
      <c r="T2" s="4" t="n">
        <v>43965</v>
      </c>
      <c r="U2" s="4" t="n">
        <v>43860</v>
      </c>
      <c r="V2" s="1" t="s">
        <v>36</v>
      </c>
      <c r="W2" s="1" t="s">
        <v>37</v>
      </c>
      <c r="AD2" s="3" t="n">
        <v>72.7273273273273</v>
      </c>
      <c r="AE2" s="3" t="n">
        <v>6.99319319319319</v>
      </c>
      <c r="AF2" s="3" t="n">
        <v>29.8702702702703</v>
      </c>
      <c r="AG2" s="3" t="n">
        <v>0.2</v>
      </c>
    </row>
    <row r="3" customFormat="false" ht="12.8" hidden="false" customHeight="false" outlineLevel="0" collapsed="false">
      <c r="A3" s="1" t="s">
        <v>38</v>
      </c>
      <c r="B3" s="1" t="s">
        <v>39</v>
      </c>
      <c r="C3" s="1" t="n">
        <v>31869</v>
      </c>
      <c r="D3" s="1" t="n">
        <v>849</v>
      </c>
      <c r="E3" s="1" t="n">
        <v>103</v>
      </c>
      <c r="F3" s="1" t="n">
        <v>746</v>
      </c>
      <c r="G3" s="1" t="n">
        <v>13090</v>
      </c>
      <c r="H3" s="1" t="n">
        <v>31020</v>
      </c>
      <c r="I3" s="1" t="n">
        <v>17930</v>
      </c>
      <c r="J3" s="1" t="n">
        <v>0.027</v>
      </c>
      <c r="K3" s="1" t="n">
        <v>0.121</v>
      </c>
      <c r="L3" s="1" t="n">
        <v>0.578</v>
      </c>
      <c r="M3" s="3" t="n">
        <v>0.848</v>
      </c>
      <c r="N3" s="3" t="n">
        <v>0.814</v>
      </c>
      <c r="O3" s="3" t="n">
        <v>0.878</v>
      </c>
      <c r="P3" s="3" t="n">
        <v>0.9995</v>
      </c>
      <c r="Q3" s="3" t="n">
        <v>0.978</v>
      </c>
      <c r="R3" s="3" t="n">
        <v>0.997</v>
      </c>
      <c r="S3" s="5" t="s">
        <v>40</v>
      </c>
      <c r="T3" s="5" t="s">
        <v>41</v>
      </c>
      <c r="U3" s="5" t="s">
        <v>42</v>
      </c>
      <c r="V3" s="1" t="n">
        <v>12</v>
      </c>
      <c r="W3" s="1" t="n">
        <v>43.3</v>
      </c>
      <c r="X3" s="1" t="n">
        <v>0.071</v>
      </c>
      <c r="Y3" s="1" t="n">
        <v>0.198</v>
      </c>
      <c r="Z3" s="1" t="n">
        <v>0.025</v>
      </c>
      <c r="AA3" s="1" t="n">
        <v>0.029</v>
      </c>
      <c r="AB3" s="1" t="n">
        <v>0.572</v>
      </c>
      <c r="AC3" s="1" t="n">
        <v>0.583</v>
      </c>
      <c r="AD3" s="3" t="n">
        <v>100</v>
      </c>
      <c r="AE3" s="3" t="n">
        <v>17.2828828828829</v>
      </c>
      <c r="AF3" s="3" t="n">
        <v>68.3317317317317</v>
      </c>
      <c r="AG3" s="3" t="n">
        <v>0.2</v>
      </c>
      <c r="AH3" s="1" t="n">
        <v>11</v>
      </c>
    </row>
    <row r="4" customFormat="false" ht="12.8" hidden="false" customHeight="false" outlineLevel="0" collapsed="false">
      <c r="A4" s="1" t="s">
        <v>43</v>
      </c>
      <c r="B4" s="1" t="s">
        <v>44</v>
      </c>
      <c r="C4" s="1" t="n">
        <v>971</v>
      </c>
      <c r="D4" s="1" t="n">
        <v>302</v>
      </c>
      <c r="E4" s="1" t="n">
        <v>194</v>
      </c>
      <c r="F4" s="1" t="n">
        <v>108</v>
      </c>
      <c r="G4" s="1" t="n">
        <v>482</v>
      </c>
      <c r="H4" s="1" t="n">
        <v>669</v>
      </c>
      <c r="I4" s="1" t="n">
        <v>187</v>
      </c>
      <c r="J4" s="1" t="n">
        <v>0.311</v>
      </c>
      <c r="K4" s="1" t="n">
        <v>0.642</v>
      </c>
      <c r="L4" s="1" t="n">
        <v>0.28</v>
      </c>
      <c r="M4" s="3" t="n">
        <v>0.915</v>
      </c>
      <c r="N4" s="3" t="n">
        <v>0.832</v>
      </c>
      <c r="O4" s="3" t="n">
        <v>0.965</v>
      </c>
      <c r="P4" s="3" t="n">
        <v>0.935</v>
      </c>
      <c r="Q4" s="3" t="n">
        <v>0.897</v>
      </c>
      <c r="R4" s="3" t="n">
        <v>0.962</v>
      </c>
      <c r="S4" s="5" t="s">
        <v>45</v>
      </c>
      <c r="T4" s="5" t="s">
        <v>46</v>
      </c>
      <c r="U4" s="5" t="s">
        <v>42</v>
      </c>
      <c r="V4" s="1" t="s">
        <v>36</v>
      </c>
      <c r="W4" s="1" t="n">
        <v>26</v>
      </c>
      <c r="X4" s="1" t="n">
        <v>0.572</v>
      </c>
      <c r="Y4" s="1" t="n">
        <v>0.706</v>
      </c>
      <c r="Z4" s="1" t="n">
        <v>0.283</v>
      </c>
      <c r="AA4" s="1" t="n">
        <v>0.341</v>
      </c>
      <c r="AB4" s="1" t="n">
        <v>0.247</v>
      </c>
      <c r="AC4" s="1" t="n">
        <v>0.315</v>
      </c>
      <c r="AD4" s="3" t="n">
        <v>61.8382382382382</v>
      </c>
      <c r="AE4" s="3" t="n">
        <v>6.09409409409409</v>
      </c>
      <c r="AF4" s="3" t="n">
        <v>100</v>
      </c>
      <c r="AG4" s="3" t="n">
        <v>6.59359359359359</v>
      </c>
      <c r="AH4" s="1" t="n">
        <v>11</v>
      </c>
    </row>
    <row r="5" customFormat="false" ht="12.8" hidden="false" customHeight="false" outlineLevel="0" collapsed="false">
      <c r="A5" s="1" t="s">
        <v>47</v>
      </c>
      <c r="B5" s="1" t="s">
        <v>48</v>
      </c>
      <c r="C5" s="1" t="n">
        <f aca="false">168+8799</f>
        <v>8967</v>
      </c>
      <c r="D5" s="1" t="n">
        <v>168</v>
      </c>
      <c r="E5" s="1" t="n">
        <v>114</v>
      </c>
      <c r="F5" s="1" t="n">
        <v>54</v>
      </c>
      <c r="G5" s="1" t="n">
        <v>8138</v>
      </c>
      <c r="H5" s="1" t="n">
        <f aca="false">C5-D5</f>
        <v>8799</v>
      </c>
      <c r="I5" s="1" t="n">
        <v>661</v>
      </c>
      <c r="J5" s="1" t="n">
        <f aca="false">D5/C5</f>
        <v>0.0187353629976581</v>
      </c>
      <c r="K5" s="1" t="n">
        <f aca="false">E5/D5</f>
        <v>0.678571428571429</v>
      </c>
      <c r="L5" s="1" t="n">
        <f aca="false">I5/H5</f>
        <v>0.0751221729742016</v>
      </c>
      <c r="M5" s="3" t="n">
        <v>0.98</v>
      </c>
      <c r="N5" s="3" t="n">
        <v>0.891150237127946</v>
      </c>
      <c r="O5" s="3" t="n">
        <v>0.999996203304582</v>
      </c>
      <c r="P5" s="3" t="n">
        <v>0.99</v>
      </c>
      <c r="Q5" s="3" t="n">
        <v>0.92508170287622</v>
      </c>
      <c r="R5" s="3" t="n">
        <v>0.999999999671554</v>
      </c>
      <c r="S5" s="6" t="n">
        <v>43952</v>
      </c>
      <c r="T5" s="6" t="n">
        <v>44104</v>
      </c>
      <c r="U5" s="5" t="s">
        <v>49</v>
      </c>
      <c r="V5" s="1" t="s">
        <v>36</v>
      </c>
      <c r="W5" s="1" t="n">
        <v>50.9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3" t="n">
        <v>30.16996996997</v>
      </c>
      <c r="AE5" s="3" t="n">
        <v>0.899299299299299</v>
      </c>
      <c r="AF5" s="3" t="n">
        <v>38.9611611611612</v>
      </c>
      <c r="AG5" s="3" t="n">
        <v>0.699499499499499</v>
      </c>
      <c r="AH5" s="1" t="s">
        <v>37</v>
      </c>
    </row>
    <row r="6" customFormat="false" ht="12.8" hidden="false" customHeight="false" outlineLevel="0" collapsed="false">
      <c r="A6" s="1" t="s">
        <v>50</v>
      </c>
      <c r="B6" s="1" t="s">
        <v>51</v>
      </c>
      <c r="C6" s="1" t="n">
        <v>2493</v>
      </c>
      <c r="D6" s="1" t="n">
        <v>242</v>
      </c>
      <c r="E6" s="1" t="n">
        <v>89</v>
      </c>
      <c r="F6" s="1" t="n">
        <v>153</v>
      </c>
      <c r="G6" s="1" t="n">
        <v>1752</v>
      </c>
      <c r="H6" s="1" t="n">
        <v>2251</v>
      </c>
      <c r="I6" s="1" t="n">
        <v>499</v>
      </c>
      <c r="J6" s="1" t="n">
        <v>0.097</v>
      </c>
      <c r="K6" s="1" t="n">
        <v>0.368</v>
      </c>
      <c r="L6" s="1" t="n">
        <v>0.222</v>
      </c>
      <c r="M6" s="3" t="n">
        <v>0.99</v>
      </c>
      <c r="N6" s="3" t="n">
        <v>0.97</v>
      </c>
      <c r="O6" s="3" t="n">
        <v>1</v>
      </c>
      <c r="P6" s="3" t="n">
        <v>0.998</v>
      </c>
      <c r="Q6" s="3" t="n">
        <v>0.997</v>
      </c>
      <c r="R6" s="3" t="n">
        <v>0.999</v>
      </c>
      <c r="S6" s="5" t="s">
        <v>52</v>
      </c>
      <c r="T6" s="5" t="s">
        <v>53</v>
      </c>
      <c r="U6" s="1" t="s">
        <v>36</v>
      </c>
      <c r="V6" s="1" t="s">
        <v>36</v>
      </c>
      <c r="W6" s="1" t="n">
        <v>41.6</v>
      </c>
      <c r="X6" s="1" t="n">
        <v>0.275</v>
      </c>
      <c r="Y6" s="1" t="n">
        <v>0.472</v>
      </c>
      <c r="Z6" s="1" t="n">
        <v>0.086</v>
      </c>
      <c r="AA6" s="1" t="n">
        <v>0.109</v>
      </c>
      <c r="AB6" s="1" t="n">
        <v>0.205</v>
      </c>
      <c r="AC6" s="1" t="n">
        <v>0.24</v>
      </c>
      <c r="AD6" s="3" t="n">
        <v>100</v>
      </c>
      <c r="AE6" s="3" t="n">
        <v>0.799399399399399</v>
      </c>
      <c r="AF6" s="3" t="n">
        <v>100</v>
      </c>
      <c r="AG6" s="3" t="n">
        <v>0.2</v>
      </c>
      <c r="AH6" s="1" t="n">
        <v>9</v>
      </c>
    </row>
    <row r="7" customFormat="false" ht="12.8" hidden="false" customHeight="false" outlineLevel="0" collapsed="false">
      <c r="A7" s="1" t="s">
        <v>54</v>
      </c>
      <c r="B7" s="1" t="s">
        <v>55</v>
      </c>
      <c r="C7" s="1" t="n">
        <v>34857</v>
      </c>
      <c r="D7" s="1" t="n">
        <v>427</v>
      </c>
      <c r="E7" s="1" t="n">
        <v>326</v>
      </c>
      <c r="F7" s="1" t="n">
        <v>101</v>
      </c>
      <c r="G7" s="1" t="n">
        <v>33303</v>
      </c>
      <c r="H7" s="1" t="n">
        <v>34430</v>
      </c>
      <c r="I7" s="1" t="n">
        <v>1127</v>
      </c>
      <c r="J7" s="1" t="n">
        <v>0.012</v>
      </c>
      <c r="K7" s="1" t="n">
        <v>0.763</v>
      </c>
      <c r="L7" s="1" t="n">
        <v>0.033</v>
      </c>
      <c r="M7" s="3" t="n">
        <v>0.95</v>
      </c>
      <c r="N7" s="3" t="n">
        <v>0.823533088193035</v>
      </c>
      <c r="O7" s="3" t="n">
        <v>0.998668371195821</v>
      </c>
      <c r="P7" s="3" t="n">
        <v>1</v>
      </c>
      <c r="Q7" s="3" t="n">
        <v>0.977</v>
      </c>
      <c r="R7" s="3" t="n">
        <v>1</v>
      </c>
      <c r="S7" s="5" t="s">
        <v>56</v>
      </c>
      <c r="T7" s="5" t="s">
        <v>57</v>
      </c>
      <c r="U7" s="5" t="s">
        <v>58</v>
      </c>
      <c r="V7" s="1" t="s">
        <v>36</v>
      </c>
      <c r="W7" s="1" t="n">
        <v>41.9</v>
      </c>
      <c r="X7" s="1" t="n">
        <v>0.714</v>
      </c>
      <c r="Y7" s="1" t="n">
        <v>0.806</v>
      </c>
      <c r="Z7" s="1" t="n">
        <v>0.011</v>
      </c>
      <c r="AA7" s="1" t="n">
        <v>0.013</v>
      </c>
      <c r="AB7" s="1" t="n">
        <v>0.031</v>
      </c>
      <c r="AC7" s="1" t="n">
        <v>0.035</v>
      </c>
      <c r="AD7" s="3" t="n">
        <v>23.7763763763764</v>
      </c>
      <c r="AE7" s="3" t="n">
        <v>1.4986986986987</v>
      </c>
      <c r="AF7" s="3" t="n">
        <v>65.3347347347347</v>
      </c>
      <c r="AG7" s="3" t="n">
        <v>0.2</v>
      </c>
      <c r="AH7" s="1" t="n">
        <v>3</v>
      </c>
    </row>
    <row r="8" customFormat="false" ht="12.8" hidden="false" customHeight="false" outlineLevel="0" collapsed="false">
      <c r="A8" s="1" t="s">
        <v>59</v>
      </c>
      <c r="B8" s="1" t="s">
        <v>60</v>
      </c>
      <c r="C8" s="1" t="n">
        <v>2564</v>
      </c>
      <c r="D8" s="1" t="n">
        <v>1045</v>
      </c>
      <c r="E8" s="1" t="n">
        <v>377</v>
      </c>
      <c r="F8" s="1" t="n">
        <v>668</v>
      </c>
      <c r="G8" s="1" t="n">
        <v>850</v>
      </c>
      <c r="H8" s="1" t="n">
        <v>1519</v>
      </c>
      <c r="I8" s="1" t="n">
        <v>669</v>
      </c>
      <c r="J8" s="1" t="n">
        <v>0.408</v>
      </c>
      <c r="K8" s="1" t="n">
        <v>0.361</v>
      </c>
      <c r="L8" s="1" t="n">
        <v>0.44</v>
      </c>
      <c r="M8" s="3" t="n">
        <v>0.926</v>
      </c>
      <c r="N8" s="3" t="n">
        <v>0.873</v>
      </c>
      <c r="O8" s="3" t="n">
        <v>0.958</v>
      </c>
      <c r="P8" s="3" t="n">
        <v>0.992</v>
      </c>
      <c r="Q8" s="3" t="n">
        <v>0.971</v>
      </c>
      <c r="R8" s="3" t="n">
        <v>0.998</v>
      </c>
      <c r="S8" s="5" t="s">
        <v>61</v>
      </c>
      <c r="T8" s="5" t="s">
        <v>62</v>
      </c>
      <c r="U8" s="1" t="s">
        <v>36</v>
      </c>
      <c r="V8" s="1" t="s">
        <v>63</v>
      </c>
      <c r="W8" s="1" t="n">
        <v>42</v>
      </c>
      <c r="X8" s="1" t="n">
        <v>0.314</v>
      </c>
      <c r="Y8" s="1" t="n">
        <v>0.411</v>
      </c>
      <c r="Z8" s="1" t="n">
        <v>0.389</v>
      </c>
      <c r="AA8" s="1" t="n">
        <v>0.427</v>
      </c>
      <c r="AB8" s="1" t="n">
        <v>0.415</v>
      </c>
      <c r="AC8" s="1" t="n">
        <v>0.465</v>
      </c>
      <c r="AD8" s="3" t="n">
        <v>100</v>
      </c>
      <c r="AE8" s="3" t="n">
        <v>8.19199199199199</v>
      </c>
      <c r="AF8" s="3" t="n">
        <v>100</v>
      </c>
      <c r="AG8" s="3" t="n">
        <v>0.699499499499499</v>
      </c>
      <c r="AH8" s="1" t="n">
        <v>8</v>
      </c>
    </row>
    <row r="9" customFormat="false" ht="12.8" hidden="false" customHeight="false" outlineLevel="0" collapsed="false">
      <c r="A9" s="1" t="s">
        <v>64</v>
      </c>
      <c r="B9" s="1" t="s">
        <v>65</v>
      </c>
      <c r="C9" s="1" t="n">
        <v>13095</v>
      </c>
      <c r="D9" s="1" t="n">
        <v>369</v>
      </c>
      <c r="E9" s="1" t="n">
        <v>112</v>
      </c>
      <c r="F9" s="1" t="n">
        <v>257</v>
      </c>
      <c r="G9" s="1" t="n">
        <v>7232</v>
      </c>
      <c r="H9" s="1" t="n">
        <v>12726</v>
      </c>
      <c r="I9" s="1" t="n">
        <v>5494</v>
      </c>
      <c r="J9" s="1" t="n">
        <v>0.028</v>
      </c>
      <c r="K9" s="1" t="n">
        <v>0.304</v>
      </c>
      <c r="L9" s="1" t="n">
        <v>0.432</v>
      </c>
      <c r="M9" s="3" t="n">
        <v>0.967</v>
      </c>
      <c r="N9" s="3" t="n">
        <v>0.924</v>
      </c>
      <c r="O9" s="3" t="n">
        <v>0.986</v>
      </c>
      <c r="P9" s="3" t="n">
        <v>0.995</v>
      </c>
      <c r="Q9" s="3" t="n">
        <v>0.987</v>
      </c>
      <c r="R9" s="3" t="n">
        <v>0.998</v>
      </c>
      <c r="S9" s="5" t="s">
        <v>66</v>
      </c>
      <c r="T9" s="5" t="s">
        <v>67</v>
      </c>
      <c r="U9" s="1" t="s">
        <v>68</v>
      </c>
      <c r="V9" s="1" t="s">
        <v>36</v>
      </c>
      <c r="W9" s="1" t="n">
        <v>51.6</v>
      </c>
      <c r="X9" s="1" t="n">
        <v>0.226</v>
      </c>
      <c r="Y9" s="1" t="n">
        <v>0.395</v>
      </c>
      <c r="Z9" s="1" t="n">
        <v>0.025</v>
      </c>
      <c r="AA9" s="1" t="n">
        <v>0.031</v>
      </c>
      <c r="AB9" s="1" t="n">
        <v>0.423</v>
      </c>
      <c r="AC9" s="1" t="n">
        <v>0.441</v>
      </c>
      <c r="AD9" s="3" t="n">
        <v>100</v>
      </c>
      <c r="AE9" s="3" t="n">
        <v>3.6964964964965</v>
      </c>
      <c r="AF9" s="3" t="n">
        <v>100</v>
      </c>
      <c r="AG9" s="3" t="n">
        <v>0.2</v>
      </c>
      <c r="AH9" s="1" t="n">
        <v>10</v>
      </c>
    </row>
    <row r="10" customFormat="false" ht="12.8" hidden="false" customHeight="false" outlineLevel="0" collapsed="false">
      <c r="A10" s="1" t="s">
        <v>69</v>
      </c>
      <c r="B10" s="1" t="s">
        <v>70</v>
      </c>
      <c r="C10" s="1" t="n">
        <v>45260</v>
      </c>
      <c r="D10" s="1" t="n">
        <v>4348</v>
      </c>
      <c r="E10" s="1" t="n">
        <v>2570</v>
      </c>
      <c r="F10" s="1" t="n">
        <v>1778</v>
      </c>
      <c r="G10" s="1" t="n">
        <v>37312</v>
      </c>
      <c r="H10" s="1" t="n">
        <v>40912</v>
      </c>
      <c r="I10" s="1" t="n">
        <v>3600</v>
      </c>
      <c r="J10" s="1" t="n">
        <v>0.096</v>
      </c>
      <c r="K10" s="1" t="n">
        <v>0.591</v>
      </c>
      <c r="L10" s="1" t="n">
        <v>0.088</v>
      </c>
      <c r="M10" s="3" t="n">
        <v>1</v>
      </c>
      <c r="N10" s="3" t="n">
        <v>0.916</v>
      </c>
      <c r="O10" s="3" t="n">
        <v>1</v>
      </c>
      <c r="P10" s="3" t="n">
        <v>0.977</v>
      </c>
      <c r="Q10" s="3" t="n">
        <v>0.919</v>
      </c>
      <c r="R10" s="3" t="n">
        <v>0.996</v>
      </c>
      <c r="S10" s="5" t="s">
        <v>71</v>
      </c>
      <c r="T10" s="5" t="s">
        <v>72</v>
      </c>
      <c r="U10" s="5" t="s">
        <v>73</v>
      </c>
      <c r="V10" s="1" t="s">
        <v>36</v>
      </c>
      <c r="W10" s="1" t="n">
        <v>51.1</v>
      </c>
      <c r="X10" s="1" t="n">
        <v>0.572</v>
      </c>
      <c r="Y10" s="1" t="n">
        <v>0.61</v>
      </c>
      <c r="Z10" s="1" t="n">
        <v>0.093</v>
      </c>
      <c r="AA10" s="1" t="n">
        <v>0.099</v>
      </c>
      <c r="AB10" s="1" t="n">
        <v>0.085</v>
      </c>
      <c r="AC10" s="1" t="n">
        <v>0.091</v>
      </c>
      <c r="AD10" s="3" t="n">
        <v>17.5825825825826</v>
      </c>
      <c r="AE10" s="3" t="n">
        <v>0.2</v>
      </c>
      <c r="AF10" s="3" t="n">
        <v>61.4386386386386</v>
      </c>
      <c r="AG10" s="3" t="n">
        <v>1.7983983983984</v>
      </c>
      <c r="AH10" s="1" t="n">
        <v>5</v>
      </c>
    </row>
    <row r="11" customFormat="false" ht="12.8" hidden="false" customHeight="false" outlineLevel="0" collapsed="false">
      <c r="A11" s="1" t="s">
        <v>74</v>
      </c>
      <c r="B11" s="1" t="s">
        <v>75</v>
      </c>
      <c r="C11" s="1" t="n">
        <v>2203</v>
      </c>
      <c r="D11" s="1" t="n">
        <v>249</v>
      </c>
      <c r="E11" s="1" t="n">
        <v>61</v>
      </c>
      <c r="F11" s="1" t="n">
        <v>188</v>
      </c>
      <c r="G11" s="1" t="n">
        <v>981</v>
      </c>
      <c r="H11" s="1" t="n">
        <v>1954</v>
      </c>
      <c r="I11" s="1" t="n">
        <v>973</v>
      </c>
      <c r="J11" s="1" t="n">
        <v>0.113</v>
      </c>
      <c r="K11" s="1" t="n">
        <v>0.245</v>
      </c>
      <c r="L11" s="1" t="n">
        <v>0.498</v>
      </c>
      <c r="M11" s="3" t="n">
        <v>0.883</v>
      </c>
      <c r="N11" s="3" t="n">
        <v>0.83</v>
      </c>
      <c r="O11" s="3" t="n">
        <v>0.921</v>
      </c>
      <c r="P11" s="3" t="n">
        <v>0.992</v>
      </c>
      <c r="Q11" s="3" t="n">
        <v>0.98</v>
      </c>
      <c r="R11" s="3" t="n">
        <v>0.997</v>
      </c>
      <c r="S11" s="5" t="s">
        <v>76</v>
      </c>
      <c r="T11" s="5" t="s">
        <v>77</v>
      </c>
      <c r="U11" s="5" t="s">
        <v>73</v>
      </c>
      <c r="V11" s="1" t="s">
        <v>36</v>
      </c>
      <c r="W11" s="1" t="n">
        <v>45.9</v>
      </c>
      <c r="X11" s="1" t="n">
        <v>0.154</v>
      </c>
      <c r="Y11" s="1" t="n">
        <v>0.366</v>
      </c>
      <c r="Z11" s="1" t="n">
        <v>0.1</v>
      </c>
      <c r="AA11" s="1" t="n">
        <v>0.127</v>
      </c>
      <c r="AB11" s="1" t="n">
        <v>0.476</v>
      </c>
      <c r="AC11" s="1" t="n">
        <v>0.52</v>
      </c>
      <c r="AD11" s="3" t="n">
        <v>100</v>
      </c>
      <c r="AE11" s="3" t="n">
        <v>13.186986986987</v>
      </c>
      <c r="AF11" s="3" t="n">
        <v>100</v>
      </c>
      <c r="AG11" s="3" t="n">
        <v>0.3997997997998</v>
      </c>
      <c r="AH11" s="1" t="n">
        <v>8</v>
      </c>
    </row>
    <row r="12" s="7" customFormat="true" ht="12.8" hidden="false" customHeight="false" outlineLevel="0" collapsed="false">
      <c r="A12" s="7" t="s">
        <v>78</v>
      </c>
      <c r="B12" s="7" t="s">
        <v>79</v>
      </c>
      <c r="C12" s="7" t="n">
        <v>535</v>
      </c>
      <c r="D12" s="7" t="n">
        <v>99</v>
      </c>
      <c r="E12" s="7" t="n">
        <v>20</v>
      </c>
      <c r="F12" s="7" t="n">
        <f aca="false">C12-D12</f>
        <v>436</v>
      </c>
      <c r="G12" s="7" t="n">
        <f aca="false">H12-I12</f>
        <v>75</v>
      </c>
      <c r="H12" s="7" t="n">
        <v>436</v>
      </c>
      <c r="I12" s="7" t="n">
        <v>361</v>
      </c>
      <c r="J12" s="7" t="n">
        <v>0.185</v>
      </c>
      <c r="K12" s="7" t="n">
        <v>0.202</v>
      </c>
      <c r="L12" s="7" t="n">
        <v>0.828</v>
      </c>
      <c r="M12" s="3" t="n">
        <v>1</v>
      </c>
      <c r="N12" s="3" t="n">
        <v>0.94</v>
      </c>
      <c r="O12" s="3" t="n">
        <v>1</v>
      </c>
      <c r="P12" s="3" t="n">
        <v>1</v>
      </c>
      <c r="Q12" s="3" t="n">
        <v>0.952</v>
      </c>
      <c r="R12" s="3" t="n">
        <v>1</v>
      </c>
      <c r="S12" s="5" t="s">
        <v>80</v>
      </c>
      <c r="T12" s="5" t="s">
        <v>81</v>
      </c>
      <c r="U12" s="8" t="s">
        <v>36</v>
      </c>
      <c r="V12" s="9" t="s">
        <v>63</v>
      </c>
      <c r="W12" s="9" t="s">
        <v>37</v>
      </c>
      <c r="AD12" s="3" t="n">
        <v>24.7753753753754</v>
      </c>
      <c r="AE12" s="3" t="n">
        <v>0.2</v>
      </c>
      <c r="AF12" s="3" t="n">
        <v>31.168968968969</v>
      </c>
      <c r="AG12" s="3" t="n">
        <v>0.2</v>
      </c>
    </row>
    <row r="13" customFormat="false" ht="12.8" hidden="false" customHeight="false" outlineLevel="0" collapsed="false">
      <c r="A13" s="1" t="s">
        <v>82</v>
      </c>
      <c r="B13" s="1" t="s">
        <v>83</v>
      </c>
      <c r="C13" s="1" t="n">
        <v>10474</v>
      </c>
      <c r="D13" s="1" t="n">
        <v>69</v>
      </c>
      <c r="E13" s="1" t="n">
        <v>32</v>
      </c>
      <c r="F13" s="1" t="n">
        <v>37</v>
      </c>
      <c r="G13" s="1" t="n">
        <v>5972</v>
      </c>
      <c r="H13" s="1" t="n">
        <v>10405</v>
      </c>
      <c r="I13" s="1" t="n">
        <v>4433</v>
      </c>
      <c r="J13" s="1" t="n">
        <v>0.007</v>
      </c>
      <c r="K13" s="1" t="n">
        <v>0.464</v>
      </c>
      <c r="L13" s="1" t="n">
        <v>0.426</v>
      </c>
      <c r="M13" s="3" t="n">
        <v>1</v>
      </c>
      <c r="N13" s="3" t="n">
        <v>0.9589</v>
      </c>
      <c r="O13" s="3" t="n">
        <v>1</v>
      </c>
      <c r="P13" s="3" t="n">
        <v>0.996</v>
      </c>
      <c r="Q13" s="3" t="n">
        <v>0.99</v>
      </c>
      <c r="R13" s="3" t="n">
        <v>0.999</v>
      </c>
      <c r="S13" s="5" t="s">
        <v>84</v>
      </c>
      <c r="T13" s="5" t="s">
        <v>85</v>
      </c>
      <c r="U13" s="5" t="s">
        <v>86</v>
      </c>
      <c r="V13" s="1" t="s">
        <v>36</v>
      </c>
      <c r="W13" s="1" t="n">
        <v>48.7</v>
      </c>
      <c r="X13" s="1" t="n">
        <v>0.305</v>
      </c>
      <c r="Y13" s="1" t="n">
        <v>0.631</v>
      </c>
      <c r="Z13" s="1" t="n">
        <v>0.006</v>
      </c>
      <c r="AA13" s="1" t="n">
        <v>0.009</v>
      </c>
      <c r="AB13" s="1" t="n">
        <v>0.417</v>
      </c>
      <c r="AC13" s="1" t="n">
        <v>0.436</v>
      </c>
      <c r="AD13" s="3" t="n">
        <v>36.3637637637638</v>
      </c>
      <c r="AE13" s="3" t="n">
        <v>0.2</v>
      </c>
      <c r="AF13" s="3" t="n">
        <v>100</v>
      </c>
      <c r="AG13" s="3" t="n">
        <v>0.2</v>
      </c>
      <c r="AH13" s="1" t="n">
        <v>10</v>
      </c>
    </row>
    <row r="14" customFormat="false" ht="12.8" hidden="false" customHeight="false" outlineLevel="0" collapsed="false">
      <c r="A14" s="1" t="s">
        <v>87</v>
      </c>
      <c r="B14" s="1" t="s">
        <v>88</v>
      </c>
      <c r="C14" s="1" t="n">
        <v>29082</v>
      </c>
      <c r="D14" s="1" t="n">
        <v>3135</v>
      </c>
      <c r="E14" s="1" t="n">
        <v>3029</v>
      </c>
      <c r="F14" s="1" t="n">
        <v>106</v>
      </c>
      <c r="G14" s="1" t="n">
        <v>25470</v>
      </c>
      <c r="H14" s="1" t="n">
        <v>25917</v>
      </c>
      <c r="I14" s="1" t="n">
        <v>447</v>
      </c>
      <c r="J14" s="1" t="n">
        <v>0.108</v>
      </c>
      <c r="K14" s="1" t="n">
        <v>0.966</v>
      </c>
      <c r="L14" s="1" t="n">
        <v>0.017</v>
      </c>
      <c r="M14" s="3" t="n">
        <v>1</v>
      </c>
      <c r="N14" s="3" t="n">
        <v>0.9589</v>
      </c>
      <c r="O14" s="3" t="n">
        <v>1</v>
      </c>
      <c r="P14" s="3" t="n">
        <v>0.996</v>
      </c>
      <c r="Q14" s="3" t="n">
        <v>0.99</v>
      </c>
      <c r="R14" s="3" t="n">
        <v>0.999</v>
      </c>
      <c r="S14" s="5" t="s">
        <v>89</v>
      </c>
      <c r="T14" s="5" t="s">
        <v>90</v>
      </c>
      <c r="U14" s="5" t="s">
        <v>42</v>
      </c>
      <c r="V14" s="1" t="s">
        <v>36</v>
      </c>
      <c r="W14" s="1" t="n">
        <v>37</v>
      </c>
      <c r="X14" s="1" t="n">
        <v>0.959</v>
      </c>
      <c r="Y14" s="1" t="n">
        <v>0.972</v>
      </c>
      <c r="Z14" s="1" t="n">
        <v>0.104</v>
      </c>
      <c r="AA14" s="1" t="n">
        <v>0.112</v>
      </c>
      <c r="AB14" s="1" t="n">
        <v>0.015</v>
      </c>
      <c r="AC14" s="1" t="n">
        <v>0.019</v>
      </c>
      <c r="AD14" s="3" t="n">
        <v>36.3637637637638</v>
      </c>
      <c r="AE14" s="3" t="n">
        <v>0.2</v>
      </c>
      <c r="AF14" s="3" t="n">
        <v>100</v>
      </c>
      <c r="AG14" s="3" t="n">
        <v>0.2</v>
      </c>
      <c r="AH14" s="1" t="n">
        <v>6</v>
      </c>
    </row>
    <row r="15" customFormat="false" ht="12.8" hidden="false" customHeight="false" outlineLevel="0" collapsed="false">
      <c r="A15" s="1" t="s">
        <v>91</v>
      </c>
      <c r="B15" s="1" t="s">
        <v>92</v>
      </c>
      <c r="C15" s="7" t="n">
        <v>551</v>
      </c>
      <c r="D15" s="7" t="n">
        <v>117</v>
      </c>
      <c r="E15" s="7" t="n">
        <v>65</v>
      </c>
      <c r="F15" s="1" t="n">
        <f aca="false">D15-E15</f>
        <v>52</v>
      </c>
      <c r="G15" s="1" t="n">
        <f aca="false">H15-I15</f>
        <v>317</v>
      </c>
      <c r="H15" s="1" t="n">
        <v>434</v>
      </c>
      <c r="I15" s="1" t="n">
        <v>117</v>
      </c>
      <c r="J15" s="1" t="n">
        <v>0.212</v>
      </c>
      <c r="K15" s="1" t="n">
        <v>0.556</v>
      </c>
      <c r="L15" s="1" t="n">
        <v>0.27</v>
      </c>
      <c r="M15" s="3" t="n">
        <v>0.833</v>
      </c>
      <c r="N15" s="3" t="n">
        <v>0.646117893218948</v>
      </c>
      <c r="O15" s="3" t="n">
        <v>0.957651717455576</v>
      </c>
      <c r="P15" s="3" t="n">
        <v>1</v>
      </c>
      <c r="Q15" s="3" t="n">
        <v>1</v>
      </c>
      <c r="R15" s="3" t="n">
        <v>1</v>
      </c>
      <c r="S15" s="5" t="s">
        <v>93</v>
      </c>
      <c r="T15" s="5" t="s">
        <v>94</v>
      </c>
      <c r="U15" s="5" t="s">
        <v>36</v>
      </c>
      <c r="V15" s="1" t="s">
        <v>63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3" t="n">
        <v>17.6824824824825</v>
      </c>
      <c r="AE15" s="3" t="n">
        <v>3.6964964964965</v>
      </c>
      <c r="AF15" s="3" t="n">
        <v>100</v>
      </c>
      <c r="AG15" s="3" t="n">
        <v>0.2</v>
      </c>
      <c r="AH15" s="1" t="s">
        <v>37</v>
      </c>
    </row>
    <row r="16" customFormat="false" ht="12.8" hidden="false" customHeight="false" outlineLevel="0" collapsed="false">
      <c r="A16" s="1" t="s">
        <v>95</v>
      </c>
      <c r="B16" s="1" t="s">
        <v>96</v>
      </c>
      <c r="C16" s="1" t="n">
        <v>1732</v>
      </c>
      <c r="D16" s="1" t="n">
        <v>33</v>
      </c>
      <c r="E16" s="1" t="n">
        <v>9</v>
      </c>
      <c r="F16" s="1" t="n">
        <v>24</v>
      </c>
      <c r="G16" s="1" t="n">
        <v>1265</v>
      </c>
      <c r="H16" s="1" t="n">
        <v>1699</v>
      </c>
      <c r="I16" s="1" t="n">
        <v>434</v>
      </c>
      <c r="J16" s="1" t="n">
        <v>0.019</v>
      </c>
      <c r="K16" s="1" t="n">
        <v>0.273</v>
      </c>
      <c r="L16" s="1" t="n">
        <v>0.255</v>
      </c>
      <c r="M16" s="3" t="n">
        <v>0.939</v>
      </c>
      <c r="N16" s="3" t="n">
        <v>0.863</v>
      </c>
      <c r="O16" s="3" t="n">
        <v>0.98</v>
      </c>
      <c r="P16" s="3" t="n">
        <v>1</v>
      </c>
      <c r="Q16" s="3" t="n">
        <v>0.991</v>
      </c>
      <c r="R16" s="3" t="n">
        <v>1</v>
      </c>
      <c r="S16" s="5" t="s">
        <v>97</v>
      </c>
      <c r="T16" s="5" t="s">
        <v>98</v>
      </c>
      <c r="U16" s="5" t="s">
        <v>99</v>
      </c>
      <c r="V16" s="1" t="s">
        <v>36</v>
      </c>
      <c r="W16" s="1" t="n">
        <v>43.3</v>
      </c>
      <c r="X16" s="1" t="n">
        <v>0.088</v>
      </c>
      <c r="Y16" s="1" t="n">
        <v>0.594</v>
      </c>
      <c r="Z16" s="1" t="n">
        <v>0.014</v>
      </c>
      <c r="AA16" s="1" t="n">
        <v>0.027</v>
      </c>
      <c r="AB16" s="1" t="n">
        <v>0.235</v>
      </c>
      <c r="AC16" s="1" t="n">
        <v>0.276</v>
      </c>
      <c r="AD16" s="3" t="n">
        <v>60.9391391391391</v>
      </c>
      <c r="AE16" s="3" t="n">
        <v>4.2958958958959</v>
      </c>
      <c r="AF16" s="3" t="n">
        <v>100</v>
      </c>
      <c r="AG16" s="3" t="n">
        <v>0.2</v>
      </c>
      <c r="AH16" s="1" t="n">
        <v>4</v>
      </c>
    </row>
    <row r="17" customFormat="false" ht="12.8" hidden="false" customHeight="false" outlineLevel="0" collapsed="false">
      <c r="A17" s="1" t="s">
        <v>100</v>
      </c>
      <c r="B17" s="1" t="s">
        <v>101</v>
      </c>
      <c r="C17" s="1" t="n">
        <v>4143</v>
      </c>
      <c r="D17" s="1" t="n">
        <v>918</v>
      </c>
      <c r="E17" s="1" t="n">
        <v>280</v>
      </c>
      <c r="F17" s="1" t="n">
        <v>638</v>
      </c>
      <c r="G17" s="1" t="n">
        <v>2347</v>
      </c>
      <c r="H17" s="1" t="n">
        <v>3225</v>
      </c>
      <c r="I17" s="1" t="n">
        <v>878</v>
      </c>
      <c r="J17" s="1" t="n">
        <v>0.222</v>
      </c>
      <c r="K17" s="1" t="n">
        <v>0.305</v>
      </c>
      <c r="L17" s="1" t="n">
        <v>0.272</v>
      </c>
      <c r="M17" s="3" t="n">
        <v>0.974</v>
      </c>
      <c r="N17" s="3" t="n">
        <v>0.909</v>
      </c>
      <c r="O17" s="3" t="n">
        <v>0.993</v>
      </c>
      <c r="P17" s="3" t="n">
        <v>0.959</v>
      </c>
      <c r="Q17" s="3" t="n">
        <v>0.948</v>
      </c>
      <c r="R17" s="3" t="n">
        <v>0.968</v>
      </c>
      <c r="S17" s="5" t="s">
        <v>102</v>
      </c>
      <c r="T17" s="5" t="s">
        <v>103</v>
      </c>
      <c r="U17" s="5" t="s">
        <v>73</v>
      </c>
      <c r="V17" s="1" t="s">
        <v>36</v>
      </c>
      <c r="W17" s="1" t="n">
        <v>48</v>
      </c>
      <c r="X17" s="1" t="n">
        <v>0.254</v>
      </c>
      <c r="Y17" s="1" t="n">
        <v>0.361</v>
      </c>
      <c r="Z17" s="1" t="n">
        <v>0.21</v>
      </c>
      <c r="AA17" s="1" t="n">
        <v>0.235</v>
      </c>
      <c r="AB17" s="1" t="n">
        <v>0.257</v>
      </c>
      <c r="AC17" s="1" t="n">
        <v>0.288</v>
      </c>
      <c r="AD17" s="3" t="n">
        <v>56.2438438438438</v>
      </c>
      <c r="AE17" s="3" t="n">
        <v>1.8982982982983</v>
      </c>
      <c r="AF17" s="3" t="n">
        <v>100</v>
      </c>
      <c r="AG17" s="3" t="n">
        <v>2.9971971971972</v>
      </c>
      <c r="AH17" s="1" t="n">
        <v>7</v>
      </c>
    </row>
    <row r="18" customFormat="false" ht="12.8" hidden="false" customHeight="false" outlineLevel="0" collapsed="false">
      <c r="A18" s="1" t="s">
        <v>104</v>
      </c>
      <c r="B18" s="1" t="s">
        <v>105</v>
      </c>
      <c r="C18" s="1" t="n">
        <v>1006</v>
      </c>
      <c r="D18" s="1" t="n">
        <v>329</v>
      </c>
      <c r="E18" s="1" t="n">
        <v>200</v>
      </c>
      <c r="F18" s="1" t="n">
        <v>129</v>
      </c>
      <c r="G18" s="1" t="n">
        <v>457</v>
      </c>
      <c r="H18" s="1" t="n">
        <v>677</v>
      </c>
      <c r="I18" s="1" t="n">
        <v>220</v>
      </c>
      <c r="J18" s="1" t="n">
        <v>0.33</v>
      </c>
      <c r="K18" s="1" t="n">
        <v>0.61</v>
      </c>
      <c r="L18" s="1" t="n">
        <v>0.32</v>
      </c>
      <c r="M18" s="3" t="n">
        <v>0.98</v>
      </c>
      <c r="N18" s="3" t="n">
        <v>0.949</v>
      </c>
      <c r="O18" s="3" t="n">
        <v>0.992</v>
      </c>
      <c r="P18" s="3" t="n">
        <v>0.99</v>
      </c>
      <c r="Q18" s="3" t="n">
        <v>0.92508170287622</v>
      </c>
      <c r="R18" s="3" t="n">
        <v>0.999999999671554</v>
      </c>
      <c r="S18" s="5" t="s">
        <v>106</v>
      </c>
      <c r="T18" s="5" t="s">
        <v>107</v>
      </c>
      <c r="U18" s="1" t="s">
        <v>36</v>
      </c>
      <c r="V18" s="1" t="s">
        <v>108</v>
      </c>
      <c r="W18" s="1" t="n">
        <v>26</v>
      </c>
      <c r="X18" s="1" t="n">
        <v>0.541</v>
      </c>
      <c r="Y18" s="1" t="n">
        <v>0.675</v>
      </c>
      <c r="Z18" s="1" t="n">
        <v>0.302</v>
      </c>
      <c r="AA18" s="1" t="n">
        <v>0.36</v>
      </c>
      <c r="AB18" s="1" t="n">
        <v>0.286</v>
      </c>
      <c r="AC18" s="1" t="n">
        <v>0.356</v>
      </c>
      <c r="AD18" s="3" t="n">
        <v>100</v>
      </c>
      <c r="AE18" s="3" t="n">
        <v>1.9981981981982</v>
      </c>
      <c r="AF18" s="3" t="n">
        <v>38.9611611611612</v>
      </c>
      <c r="AG18" s="3" t="n">
        <v>0.699499499499499</v>
      </c>
      <c r="AH18" s="1" t="n">
        <v>6</v>
      </c>
    </row>
    <row r="19" customFormat="false" ht="12.8" hidden="false" customHeight="false" outlineLevel="0" collapsed="false">
      <c r="A19" s="1" t="s">
        <v>109</v>
      </c>
      <c r="B19" s="1" t="s">
        <v>110</v>
      </c>
      <c r="C19" s="1" t="n">
        <v>1883</v>
      </c>
      <c r="D19" s="1" t="n">
        <v>252</v>
      </c>
      <c r="E19" s="1" t="n">
        <v>95</v>
      </c>
      <c r="F19" s="1" t="n">
        <v>157</v>
      </c>
      <c r="G19" s="1" t="n">
        <v>937</v>
      </c>
      <c r="H19" s="1" t="n">
        <v>1631</v>
      </c>
      <c r="I19" s="1" t="n">
        <v>694</v>
      </c>
      <c r="J19" s="1" t="n">
        <v>0.134</v>
      </c>
      <c r="K19" s="1" t="n">
        <v>0.377</v>
      </c>
      <c r="L19" s="1" t="n">
        <v>0.426</v>
      </c>
      <c r="M19" s="3" t="n">
        <v>0.9</v>
      </c>
      <c r="N19" s="3" t="n">
        <v>0.887</v>
      </c>
      <c r="O19" s="3" t="n">
        <v>1</v>
      </c>
      <c r="P19" s="3" t="n">
        <v>1</v>
      </c>
      <c r="Q19" s="3" t="n">
        <v>0.954</v>
      </c>
      <c r="R19" s="3" t="n">
        <v>1</v>
      </c>
      <c r="S19" s="5" t="s">
        <v>111</v>
      </c>
      <c r="T19" s="5" t="s">
        <v>112</v>
      </c>
      <c r="U19" s="1" t="s">
        <v>36</v>
      </c>
      <c r="V19" s="1" t="s">
        <v>36</v>
      </c>
      <c r="W19" s="1" t="n">
        <v>27.6</v>
      </c>
      <c r="X19" s="1" t="n">
        <v>0.286</v>
      </c>
      <c r="Y19" s="1" t="n">
        <v>0.477</v>
      </c>
      <c r="Z19" s="1" t="n">
        <v>0.119</v>
      </c>
      <c r="AA19" s="1" t="n">
        <v>0.15</v>
      </c>
      <c r="AB19" s="1" t="n">
        <v>0.402</v>
      </c>
      <c r="AC19" s="1" t="n">
        <v>0.45</v>
      </c>
      <c r="AD19" s="3" t="n">
        <v>97.2028028028028</v>
      </c>
      <c r="AE19" s="3" t="n">
        <v>7.19299299299299</v>
      </c>
      <c r="AF19" s="3" t="n">
        <v>32.4676676676677</v>
      </c>
      <c r="AG19" s="3" t="n">
        <v>0.2</v>
      </c>
      <c r="AH19" s="1" t="s">
        <v>36</v>
      </c>
    </row>
    <row r="20" customFormat="false" ht="12.8" hidden="false" customHeight="false" outlineLevel="0" collapsed="false">
      <c r="A20" s="1" t="s">
        <v>113</v>
      </c>
      <c r="B20" s="1" t="s">
        <v>114</v>
      </c>
      <c r="C20" s="1" t="n">
        <v>9464</v>
      </c>
      <c r="D20" s="1" t="n">
        <v>2152</v>
      </c>
      <c r="E20" s="1" t="n">
        <v>1448</v>
      </c>
      <c r="F20" s="1" t="n">
        <v>704</v>
      </c>
      <c r="G20" s="1" t="n">
        <v>6719</v>
      </c>
      <c r="H20" s="1" t="n">
        <v>7312</v>
      </c>
      <c r="I20" s="1" t="n">
        <v>593</v>
      </c>
      <c r="J20" s="1" t="n">
        <v>0.227</v>
      </c>
      <c r="K20" s="1" t="n">
        <v>0.673</v>
      </c>
      <c r="L20" s="1" t="n">
        <v>0.081</v>
      </c>
      <c r="M20" s="3" t="n">
        <v>0.9202</v>
      </c>
      <c r="N20" s="3" t="n">
        <v>0.8857</v>
      </c>
      <c r="O20" s="3" t="n">
        <v>0.945</v>
      </c>
      <c r="P20" s="3" t="n">
        <v>0.9952</v>
      </c>
      <c r="Q20" s="3" t="n">
        <v>0.9735</v>
      </c>
      <c r="R20" s="3" t="n">
        <v>0.9992</v>
      </c>
      <c r="S20" s="5" t="s">
        <v>66</v>
      </c>
      <c r="T20" s="5" t="s">
        <v>62</v>
      </c>
      <c r="U20" s="5" t="s">
        <v>42</v>
      </c>
      <c r="V20" s="1" t="s">
        <v>36</v>
      </c>
      <c r="W20" s="1" t="n">
        <v>39.2</v>
      </c>
      <c r="X20" s="1" t="n">
        <v>0.648</v>
      </c>
      <c r="Y20" s="1" t="n">
        <v>0.697</v>
      </c>
      <c r="Z20" s="1" t="n">
        <v>0.219</v>
      </c>
      <c r="AA20" s="1" t="n">
        <v>0.236</v>
      </c>
      <c r="AB20" s="1" t="n">
        <v>0.075</v>
      </c>
      <c r="AC20" s="1" t="n">
        <v>0.087</v>
      </c>
      <c r="AD20" s="3" t="n">
        <v>100</v>
      </c>
      <c r="AE20" s="3" t="n">
        <v>8.19199199199199</v>
      </c>
      <c r="AF20" s="3" t="n">
        <v>100</v>
      </c>
      <c r="AG20" s="3" t="n">
        <v>0.5995995995996</v>
      </c>
      <c r="AH20" s="1" t="n">
        <v>12</v>
      </c>
    </row>
    <row r="21" customFormat="false" ht="12.8" hidden="false" customHeight="false" outlineLevel="0" collapsed="false">
      <c r="A21" s="1" t="s">
        <v>115</v>
      </c>
      <c r="B21" s="1" t="s">
        <v>116</v>
      </c>
      <c r="C21" s="1" t="n">
        <v>3147</v>
      </c>
      <c r="D21" s="1" t="n">
        <v>74</v>
      </c>
      <c r="E21" s="1" t="n">
        <v>5</v>
      </c>
      <c r="F21" s="1" t="n">
        <v>69</v>
      </c>
      <c r="G21" s="1" t="n">
        <v>1170</v>
      </c>
      <c r="H21" s="1" t="n">
        <v>3073</v>
      </c>
      <c r="I21" s="1" t="n">
        <v>1903</v>
      </c>
      <c r="J21" s="1" t="n">
        <v>0.024</v>
      </c>
      <c r="K21" s="1" t="n">
        <v>0.068</v>
      </c>
      <c r="L21" s="1" t="n">
        <v>0.619</v>
      </c>
      <c r="M21" s="3" t="n">
        <v>0.844</v>
      </c>
      <c r="N21" s="3" t="n">
        <v>0.759</v>
      </c>
      <c r="O21" s="3" t="n">
        <v>0.903</v>
      </c>
      <c r="P21" s="3" t="n">
        <v>1</v>
      </c>
      <c r="Q21" s="3" t="n">
        <v>0.99</v>
      </c>
      <c r="R21" s="3" t="n">
        <v>1</v>
      </c>
      <c r="S21" s="5" t="s">
        <v>117</v>
      </c>
      <c r="T21" s="5" t="s">
        <v>118</v>
      </c>
      <c r="U21" s="1" t="s">
        <v>36</v>
      </c>
      <c r="V21" s="1" t="s">
        <v>36</v>
      </c>
      <c r="W21" s="1" t="n">
        <v>42.1</v>
      </c>
      <c r="X21" s="1" t="n">
        <v>0.005</v>
      </c>
      <c r="Y21" s="1" t="n">
        <v>0.506</v>
      </c>
      <c r="Z21" s="1" t="n">
        <v>0.019</v>
      </c>
      <c r="AA21" s="1" t="n">
        <v>0.03</v>
      </c>
      <c r="AB21" s="1" t="n">
        <v>0.602</v>
      </c>
      <c r="AC21" s="1" t="n">
        <v>0.636</v>
      </c>
      <c r="AD21" s="3" t="n">
        <v>81.2188188188188</v>
      </c>
      <c r="AE21" s="3" t="n">
        <v>15.5845845845846</v>
      </c>
      <c r="AF21" s="3" t="n">
        <v>100</v>
      </c>
      <c r="AG21" s="3" t="n">
        <v>0.2</v>
      </c>
      <c r="AH21" s="1" t="n">
        <v>9</v>
      </c>
    </row>
    <row r="22" customFormat="false" ht="12.8" hidden="false" customHeight="false" outlineLevel="0" collapsed="false">
      <c r="A22" s="1" t="s">
        <v>119</v>
      </c>
      <c r="B22" s="1" t="s">
        <v>120</v>
      </c>
      <c r="C22" s="1" t="n">
        <v>3136</v>
      </c>
      <c r="D22" s="1" t="n">
        <v>553</v>
      </c>
      <c r="E22" s="1" t="n">
        <v>132</v>
      </c>
      <c r="F22" s="1" t="n">
        <v>421</v>
      </c>
      <c r="G22" s="1" t="n">
        <v>1006</v>
      </c>
      <c r="H22" s="1" t="n">
        <v>2583</v>
      </c>
      <c r="I22" s="1" t="n">
        <v>1577</v>
      </c>
      <c r="J22" s="1" t="n">
        <v>0.176</v>
      </c>
      <c r="K22" s="1" t="n">
        <v>0.239</v>
      </c>
      <c r="L22" s="1" t="n">
        <v>0.611</v>
      </c>
      <c r="M22" s="3" t="n">
        <v>0.98</v>
      </c>
      <c r="N22" s="3" t="n">
        <v>0.949</v>
      </c>
      <c r="O22" s="3" t="n">
        <v>0.992</v>
      </c>
      <c r="P22" s="3" t="n">
        <v>0.99</v>
      </c>
      <c r="Q22" s="3" t="n">
        <v>0.92508170287622</v>
      </c>
      <c r="R22" s="3" t="n">
        <v>0.999999999671554</v>
      </c>
      <c r="S22" s="5" t="s">
        <v>121</v>
      </c>
      <c r="T22" s="5" t="s">
        <v>122</v>
      </c>
      <c r="U22" s="1" t="s">
        <v>36</v>
      </c>
      <c r="V22" s="1" t="s">
        <v>36</v>
      </c>
      <c r="W22" s="1" t="n">
        <v>30.2</v>
      </c>
      <c r="X22" s="1" t="n">
        <v>0.174</v>
      </c>
      <c r="Y22" s="1" t="n">
        <v>0.318</v>
      </c>
      <c r="Z22" s="1" t="n">
        <v>0.163</v>
      </c>
      <c r="AA22" s="1" t="n">
        <v>0.19</v>
      </c>
      <c r="AB22" s="1" t="n">
        <v>0.592</v>
      </c>
      <c r="AC22" s="1" t="n">
        <v>0.63</v>
      </c>
      <c r="AD22" s="3" t="n">
        <v>100</v>
      </c>
      <c r="AE22" s="3" t="n">
        <v>1.9981981981982</v>
      </c>
      <c r="AF22" s="3" t="n">
        <v>38.9611611611612</v>
      </c>
      <c r="AG22" s="3" t="n">
        <v>0.699499499499499</v>
      </c>
      <c r="AH22" s="1" t="n">
        <v>17</v>
      </c>
    </row>
    <row r="23" customFormat="false" ht="12.8" hidden="false" customHeight="false" outlineLevel="0" collapsed="false">
      <c r="A23" s="1" t="s">
        <v>123</v>
      </c>
      <c r="B23" s="1" t="s">
        <v>124</v>
      </c>
      <c r="C23" s="1" t="n">
        <v>3005</v>
      </c>
      <c r="D23" s="1" t="n">
        <v>364</v>
      </c>
      <c r="E23" s="1" t="n">
        <v>333</v>
      </c>
      <c r="F23" s="1" t="n">
        <v>31</v>
      </c>
      <c r="G23" s="1" t="n">
        <v>2452</v>
      </c>
      <c r="H23" s="1" t="n">
        <v>2641</v>
      </c>
      <c r="I23" s="1" t="n">
        <v>189</v>
      </c>
      <c r="J23" s="1" t="n">
        <v>0.121</v>
      </c>
      <c r="K23" s="1" t="n">
        <v>0.915</v>
      </c>
      <c r="L23" s="1" t="n">
        <v>0.072</v>
      </c>
      <c r="M23" s="3" t="n">
        <v>0.972</v>
      </c>
      <c r="N23" s="3" t="n">
        <v>0.954</v>
      </c>
      <c r="O23" s="3" t="n">
        <v>0.984</v>
      </c>
      <c r="P23" s="3" t="n">
        <v>0.998</v>
      </c>
      <c r="Q23" s="3" t="n">
        <v>0.993</v>
      </c>
      <c r="R23" s="3" t="n">
        <v>1</v>
      </c>
      <c r="S23" s="5" t="s">
        <v>125</v>
      </c>
      <c r="T23" s="5" t="s">
        <v>126</v>
      </c>
      <c r="U23" s="1" t="s">
        <v>36</v>
      </c>
      <c r="V23" s="1" t="s">
        <v>127</v>
      </c>
      <c r="W23" s="1" t="n">
        <v>26.3</v>
      </c>
      <c r="X23" s="1" t="n">
        <v>0.88</v>
      </c>
      <c r="Y23" s="1" t="n">
        <v>0.94</v>
      </c>
      <c r="Z23" s="1" t="n">
        <v>0.11</v>
      </c>
      <c r="AA23" s="1" t="n">
        <v>0.133</v>
      </c>
      <c r="AB23" s="1" t="n">
        <v>0.063</v>
      </c>
      <c r="AC23" s="1" t="n">
        <v>0.082</v>
      </c>
      <c r="AD23" s="3" t="n">
        <v>100</v>
      </c>
      <c r="AE23" s="3" t="n">
        <v>2.0980980980981</v>
      </c>
      <c r="AF23" s="3" t="n">
        <v>100</v>
      </c>
      <c r="AG23" s="3" t="n">
        <v>0.2</v>
      </c>
      <c r="AH23" s="1" t="n">
        <v>11</v>
      </c>
    </row>
    <row r="24" customFormat="false" ht="12.8" hidden="false" customHeight="false" outlineLevel="0" collapsed="false">
      <c r="A24" s="1" t="s">
        <v>128</v>
      </c>
      <c r="B24" s="1" t="s">
        <v>129</v>
      </c>
      <c r="C24" s="1" t="n">
        <v>2010</v>
      </c>
      <c r="D24" s="1" t="n">
        <v>591</v>
      </c>
      <c r="E24" s="1" t="n">
        <v>399</v>
      </c>
      <c r="F24" s="1" t="n">
        <v>192</v>
      </c>
      <c r="G24" s="1" t="n">
        <v>1171</v>
      </c>
      <c r="H24" s="1" t="n">
        <v>1419</v>
      </c>
      <c r="I24" s="1" t="n">
        <v>248</v>
      </c>
      <c r="J24" s="1" t="n">
        <v>0.294</v>
      </c>
      <c r="K24" s="1" t="n">
        <v>0.675</v>
      </c>
      <c r="L24" s="1" t="n">
        <v>0.175</v>
      </c>
      <c r="M24" s="3" t="n">
        <v>0.667</v>
      </c>
      <c r="N24" s="3" t="n">
        <v>0.49</v>
      </c>
      <c r="O24" s="3" t="n">
        <v>0.782</v>
      </c>
      <c r="P24" s="3" t="n">
        <v>0.97</v>
      </c>
      <c r="Q24" s="3" t="n">
        <v>0.943</v>
      </c>
      <c r="R24" s="3" t="n">
        <v>0.982</v>
      </c>
      <c r="S24" s="5" t="s">
        <v>130</v>
      </c>
      <c r="T24" s="5" t="s">
        <v>131</v>
      </c>
      <c r="U24" s="1" t="s">
        <v>36</v>
      </c>
      <c r="V24" s="1" t="s">
        <v>36</v>
      </c>
      <c r="W24" s="1" t="n">
        <v>42.8</v>
      </c>
      <c r="X24" s="1" t="n">
        <v>0.628</v>
      </c>
      <c r="Y24" s="1" t="n">
        <v>0.719</v>
      </c>
      <c r="Z24" s="1" t="n">
        <v>0.274</v>
      </c>
      <c r="AA24" s="1" t="n">
        <v>0.314</v>
      </c>
      <c r="AB24" s="1" t="n">
        <v>0.156</v>
      </c>
      <c r="AC24" s="1" t="n">
        <v>0.196</v>
      </c>
      <c r="AD24" s="3" t="n">
        <v>25.2748748748749</v>
      </c>
      <c r="AE24" s="3" t="n">
        <v>13.5865865865866</v>
      </c>
      <c r="AF24" s="3" t="n">
        <v>100</v>
      </c>
      <c r="AG24" s="3" t="n">
        <v>2.6974974974975</v>
      </c>
      <c r="AH24" s="1" t="n">
        <v>11</v>
      </c>
    </row>
    <row r="25" customFormat="false" ht="12.8" hidden="false" customHeight="false" outlineLevel="0" collapsed="false">
      <c r="A25" s="1" t="s">
        <v>132</v>
      </c>
      <c r="B25" s="1" t="s">
        <v>133</v>
      </c>
      <c r="C25" s="1" t="n">
        <v>13398</v>
      </c>
      <c r="D25" s="1" t="n">
        <v>296</v>
      </c>
      <c r="E25" s="1" t="n">
        <v>48</v>
      </c>
      <c r="F25" s="1" t="n">
        <v>248</v>
      </c>
      <c r="G25" s="1" t="n">
        <v>6516</v>
      </c>
      <c r="H25" s="1" t="n">
        <v>13102</v>
      </c>
      <c r="I25" s="1" t="n">
        <v>6586</v>
      </c>
      <c r="J25" s="1" t="n">
        <v>0.022</v>
      </c>
      <c r="K25" s="1" t="n">
        <v>0.162</v>
      </c>
      <c r="L25" s="1" t="n">
        <v>0.503</v>
      </c>
      <c r="M25" s="3" t="n">
        <v>0.981</v>
      </c>
      <c r="N25" s="3" t="n">
        <v>0.965</v>
      </c>
      <c r="O25" s="3" t="n">
        <v>0.99</v>
      </c>
      <c r="P25" s="3" t="n">
        <v>0.999</v>
      </c>
      <c r="Q25" s="3" t="n">
        <v>0.994</v>
      </c>
      <c r="R25" s="3" t="n">
        <v>1</v>
      </c>
      <c r="S25" s="5" t="s">
        <v>134</v>
      </c>
      <c r="T25" s="5" t="s">
        <v>45</v>
      </c>
      <c r="U25" s="1" t="s">
        <v>36</v>
      </c>
      <c r="V25" s="1" t="s">
        <v>36</v>
      </c>
      <c r="W25" s="1" t="n">
        <v>43.3</v>
      </c>
      <c r="X25" s="1" t="n">
        <v>0.084</v>
      </c>
      <c r="Y25" s="1" t="n">
        <v>0.29</v>
      </c>
      <c r="Z25" s="1" t="n">
        <v>0.02</v>
      </c>
      <c r="AA25" s="1" t="n">
        <v>0.025</v>
      </c>
      <c r="AB25" s="1" t="n">
        <v>0.494</v>
      </c>
      <c r="AC25" s="1" t="n">
        <v>0.512</v>
      </c>
      <c r="AD25" s="3" t="n">
        <v>100</v>
      </c>
      <c r="AE25" s="3" t="n">
        <v>1.198998998999</v>
      </c>
      <c r="AF25" s="3" t="n">
        <v>100</v>
      </c>
      <c r="AG25" s="3" t="n">
        <v>0.2</v>
      </c>
      <c r="AH25" s="1" t="n">
        <v>14</v>
      </c>
    </row>
    <row r="26" customFormat="false" ht="12.8" hidden="false" customHeight="false" outlineLevel="0" collapsed="false">
      <c r="A26" s="1" t="s">
        <v>135</v>
      </c>
      <c r="B26" s="1" t="s">
        <v>136</v>
      </c>
      <c r="C26" s="1" t="n">
        <v>1422</v>
      </c>
      <c r="D26" s="1" t="n">
        <v>398</v>
      </c>
      <c r="E26" s="1" t="n">
        <v>129</v>
      </c>
      <c r="F26" s="1" t="n">
        <v>269</v>
      </c>
      <c r="G26" s="1" t="n">
        <v>335</v>
      </c>
      <c r="H26" s="1" t="n">
        <v>1024</v>
      </c>
      <c r="I26" s="1" t="n">
        <v>689</v>
      </c>
      <c r="J26" s="1" t="n">
        <v>0.28</v>
      </c>
      <c r="K26" s="1" t="n">
        <v>0.324</v>
      </c>
      <c r="L26" s="1" t="n">
        <v>0.673</v>
      </c>
      <c r="M26" s="3" t="n">
        <v>0.805097416435703</v>
      </c>
      <c r="N26" s="3" t="n">
        <v>0.618396816995291</v>
      </c>
      <c r="O26" s="3" t="n">
        <v>0.925687705962182</v>
      </c>
      <c r="P26" s="3" t="n">
        <v>0.986143499642817</v>
      </c>
      <c r="Q26" s="3" t="n">
        <v>0.921731178149713</v>
      </c>
      <c r="R26" s="3" t="n">
        <v>0.999368874999585</v>
      </c>
      <c r="S26" s="5" t="s">
        <v>137</v>
      </c>
      <c r="T26" s="5" t="s">
        <v>46</v>
      </c>
      <c r="U26" s="1" t="s">
        <v>36</v>
      </c>
      <c r="V26" s="1" t="s">
        <v>138</v>
      </c>
      <c r="W26" s="1" t="n">
        <v>29.2</v>
      </c>
      <c r="X26" s="1" t="n">
        <v>0.249</v>
      </c>
      <c r="Y26" s="1" t="n">
        <v>0.409</v>
      </c>
      <c r="Z26" s="1" t="n">
        <v>0.257</v>
      </c>
      <c r="AA26" s="1" t="n">
        <v>0.304</v>
      </c>
      <c r="AB26" s="1" t="n">
        <v>0.644</v>
      </c>
      <c r="AC26" s="1" t="n">
        <v>0.701</v>
      </c>
      <c r="AD26" s="3" t="n">
        <v>19.4806806806807</v>
      </c>
      <c r="AE26" s="3" t="n">
        <v>4.9951951951952</v>
      </c>
      <c r="AF26" s="3" t="n">
        <v>42.6574574574575</v>
      </c>
      <c r="AG26" s="3" t="n">
        <v>0.899299299299299</v>
      </c>
      <c r="AH26" s="1" t="n">
        <v>9</v>
      </c>
    </row>
    <row r="27" customFormat="false" ht="12.8" hidden="false" customHeight="false" outlineLevel="0" collapsed="false">
      <c r="A27" s="1" t="s">
        <v>139</v>
      </c>
      <c r="B27" s="1" t="s">
        <v>140</v>
      </c>
      <c r="C27" s="1" t="n">
        <v>61092</v>
      </c>
      <c r="D27" s="1" t="n">
        <v>2669</v>
      </c>
      <c r="E27" s="1" t="n">
        <v>766</v>
      </c>
      <c r="F27" s="1" t="n">
        <v>1903</v>
      </c>
      <c r="G27" s="1" t="n">
        <v>39324</v>
      </c>
      <c r="H27" s="1" t="n">
        <v>58423</v>
      </c>
      <c r="I27" s="1" t="n">
        <v>19099</v>
      </c>
      <c r="J27" s="1" t="n">
        <v>0.044</v>
      </c>
      <c r="K27" s="1" t="n">
        <v>0.287</v>
      </c>
      <c r="L27" s="1" t="n">
        <v>0.327</v>
      </c>
      <c r="M27" s="3" t="n">
        <v>0.906</v>
      </c>
      <c r="N27" s="3" t="n">
        <v>0.881</v>
      </c>
      <c r="O27" s="3" t="n">
        <v>0.926</v>
      </c>
      <c r="P27" s="3" t="n">
        <v>0.993</v>
      </c>
      <c r="Q27" s="3" t="n">
        <v>0.99</v>
      </c>
      <c r="R27" s="3" t="n">
        <v>0.995</v>
      </c>
      <c r="S27" s="5" t="s">
        <v>141</v>
      </c>
      <c r="T27" s="5" t="s">
        <v>97</v>
      </c>
      <c r="U27" s="1" t="s">
        <v>36</v>
      </c>
      <c r="V27" s="1" t="s">
        <v>36</v>
      </c>
      <c r="W27" s="1" t="n">
        <v>48.4</v>
      </c>
      <c r="X27" s="1" t="n">
        <v>0.256</v>
      </c>
      <c r="Y27" s="1" t="n">
        <v>0.32</v>
      </c>
      <c r="Z27" s="1" t="n">
        <v>0.042</v>
      </c>
      <c r="AA27" s="1" t="n">
        <v>0.046</v>
      </c>
      <c r="AB27" s="1" t="n">
        <v>0.323</v>
      </c>
      <c r="AC27" s="1" t="n">
        <v>0.331</v>
      </c>
      <c r="AD27" s="3" t="n">
        <v>100</v>
      </c>
      <c r="AE27" s="3" t="n">
        <v>9.49069069069069</v>
      </c>
      <c r="AF27" s="3" t="n">
        <v>100</v>
      </c>
      <c r="AG27" s="3" t="n">
        <v>0.2</v>
      </c>
      <c r="AH27" s="1" t="n">
        <v>10</v>
      </c>
    </row>
    <row r="28" customFormat="false" ht="12.8" hidden="false" customHeight="false" outlineLevel="0" collapsed="false">
      <c r="A28" s="1" t="s">
        <v>142</v>
      </c>
      <c r="B28" s="1" t="s">
        <v>143</v>
      </c>
      <c r="C28" s="1" t="n">
        <v>8344</v>
      </c>
      <c r="D28" s="1" t="n">
        <v>590</v>
      </c>
      <c r="E28" s="1" t="n">
        <v>77</v>
      </c>
      <c r="F28" s="1" t="n">
        <v>513</v>
      </c>
      <c r="G28" s="1" t="n">
        <v>3272</v>
      </c>
      <c r="H28" s="1" t="n">
        <v>7754</v>
      </c>
      <c r="I28" s="1" t="n">
        <v>4482</v>
      </c>
      <c r="J28" s="1" t="n">
        <v>0.071</v>
      </c>
      <c r="K28" s="1" t="n">
        <v>0.131</v>
      </c>
      <c r="L28" s="1" t="n">
        <v>0.578</v>
      </c>
      <c r="M28" s="3" t="n">
        <v>0.93</v>
      </c>
      <c r="N28" s="3" t="n">
        <v>0.787660440386999</v>
      </c>
      <c r="O28" s="3" t="n">
        <v>0.99539256618082</v>
      </c>
      <c r="P28" s="3" t="n">
        <v>1</v>
      </c>
      <c r="Q28" s="3" t="n">
        <v>1</v>
      </c>
      <c r="R28" s="3" t="n">
        <v>1</v>
      </c>
      <c r="S28" s="5" t="s">
        <v>144</v>
      </c>
      <c r="T28" s="5" t="s">
        <v>145</v>
      </c>
      <c r="U28" s="5" t="s">
        <v>146</v>
      </c>
      <c r="V28" s="1" t="s">
        <v>36</v>
      </c>
      <c r="W28" s="1" t="n">
        <v>46.9</v>
      </c>
      <c r="X28" s="1" t="n">
        <v>0.073</v>
      </c>
      <c r="Y28" s="1" t="n">
        <v>0.224</v>
      </c>
      <c r="Z28" s="1" t="n">
        <v>0.066</v>
      </c>
      <c r="AA28" s="1" t="n">
        <v>0.077</v>
      </c>
      <c r="AB28" s="1" t="n">
        <v>0.567</v>
      </c>
      <c r="AC28" s="1" t="n">
        <v>0.589</v>
      </c>
      <c r="AD28" s="3" t="n">
        <v>22.0780780780781</v>
      </c>
      <c r="AE28" s="3" t="n">
        <v>1.8982982982983</v>
      </c>
      <c r="AF28" s="3" t="n">
        <v>100</v>
      </c>
      <c r="AG28" s="3" t="n">
        <v>0.2</v>
      </c>
      <c r="AH28" s="1" t="n">
        <v>14</v>
      </c>
    </row>
    <row r="29" customFormat="false" ht="12.8" hidden="false" customHeight="false" outlineLevel="0" collapsed="false">
      <c r="A29" s="1" t="s">
        <v>147</v>
      </c>
      <c r="B29" s="1" t="s">
        <v>148</v>
      </c>
      <c r="C29" s="1" t="n">
        <v>99908</v>
      </c>
      <c r="D29" s="1" t="n">
        <v>5544</v>
      </c>
      <c r="E29" s="1" t="n">
        <v>1785</v>
      </c>
      <c r="F29" s="1" t="n">
        <v>3759</v>
      </c>
      <c r="G29" s="1" t="n">
        <v>79291</v>
      </c>
      <c r="H29" s="1" t="n">
        <v>94364</v>
      </c>
      <c r="I29" s="1" t="n">
        <v>15073</v>
      </c>
      <c r="J29" s="1" t="n">
        <v>0.06</v>
      </c>
      <c r="K29" s="1" t="n">
        <v>0.32</v>
      </c>
      <c r="L29" s="1" t="n">
        <v>0.16</v>
      </c>
      <c r="M29" s="3" t="n">
        <v>0.844</v>
      </c>
      <c r="N29" s="3" t="n">
        <v>0.705</v>
      </c>
      <c r="O29" s="3" t="n">
        <v>0.935</v>
      </c>
      <c r="P29" s="3" t="n">
        <v>0.986</v>
      </c>
      <c r="Q29" s="3" t="n">
        <v>0.971</v>
      </c>
      <c r="R29" s="3" t="n">
        <v>0.994</v>
      </c>
      <c r="S29" s="5" t="s">
        <v>149</v>
      </c>
      <c r="T29" s="5" t="s">
        <v>150</v>
      </c>
      <c r="U29" s="1" t="s">
        <v>36</v>
      </c>
      <c r="V29" s="1" t="s">
        <v>36</v>
      </c>
      <c r="W29" s="1" t="n">
        <v>52.5</v>
      </c>
      <c r="X29" s="1" t="n">
        <v>0.299</v>
      </c>
      <c r="Y29" s="1" t="n">
        <v>0.342</v>
      </c>
      <c r="Z29" s="1" t="n">
        <v>0.059</v>
      </c>
      <c r="AA29" s="1" t="n">
        <v>0.061</v>
      </c>
      <c r="AB29" s="1" t="n">
        <v>0.158</v>
      </c>
      <c r="AC29" s="1" t="n">
        <v>0.162</v>
      </c>
      <c r="AD29" s="3" t="n">
        <v>31.3687687687688</v>
      </c>
      <c r="AE29" s="3" t="n">
        <v>6.09409409409409</v>
      </c>
      <c r="AF29" s="3" t="n">
        <v>100</v>
      </c>
      <c r="AG29" s="3" t="n">
        <v>0.799399399399399</v>
      </c>
      <c r="AH29" s="1" t="n">
        <v>4</v>
      </c>
    </row>
    <row r="30" customFormat="false" ht="12.8" hidden="false" customHeight="false" outlineLevel="0" collapsed="false">
      <c r="A30" s="1" t="s">
        <v>151</v>
      </c>
      <c r="B30" s="1" t="s">
        <v>152</v>
      </c>
      <c r="C30" s="1" t="n">
        <v>4654</v>
      </c>
      <c r="D30" s="1" t="n">
        <v>229</v>
      </c>
      <c r="E30" s="1" t="n">
        <v>23</v>
      </c>
      <c r="F30" s="1" t="n">
        <v>206</v>
      </c>
      <c r="G30" s="1" t="n">
        <v>885</v>
      </c>
      <c r="H30" s="1" t="n">
        <v>4425</v>
      </c>
      <c r="I30" s="1" t="n">
        <v>3540</v>
      </c>
      <c r="J30" s="1" t="n">
        <v>0.049</v>
      </c>
      <c r="K30" s="1" t="n">
        <v>0.1</v>
      </c>
      <c r="L30" s="1" t="n">
        <v>0.8</v>
      </c>
      <c r="M30" s="3" t="n">
        <v>0.98</v>
      </c>
      <c r="N30" s="3" t="n">
        <v>0.895</v>
      </c>
      <c r="O30" s="3" t="n">
        <v>0.996</v>
      </c>
      <c r="P30" s="3" t="n">
        <v>0.993</v>
      </c>
      <c r="Q30" s="3" t="n">
        <v>0.983</v>
      </c>
      <c r="R30" s="3" t="n">
        <v>0.997</v>
      </c>
      <c r="S30" s="5" t="s">
        <v>153</v>
      </c>
      <c r="T30" s="5" t="s">
        <v>121</v>
      </c>
      <c r="U30" s="5" t="s">
        <v>146</v>
      </c>
      <c r="V30" s="1" t="s">
        <v>36</v>
      </c>
      <c r="W30" s="1" t="n">
        <v>52</v>
      </c>
      <c r="X30" s="1" t="n">
        <v>0.03</v>
      </c>
      <c r="Y30" s="1" t="n">
        <v>0.284</v>
      </c>
      <c r="Z30" s="1" t="n">
        <v>0.043</v>
      </c>
      <c r="AA30" s="1" t="n">
        <v>0.056</v>
      </c>
      <c r="AB30" s="1" t="n">
        <v>0.788</v>
      </c>
      <c r="AC30" s="1" t="n">
        <v>0.812</v>
      </c>
      <c r="AD30" s="3" t="n">
        <v>33.2668668668669</v>
      </c>
      <c r="AE30" s="3" t="n">
        <v>0.999199199199199</v>
      </c>
      <c r="AF30" s="3" t="n">
        <v>100</v>
      </c>
      <c r="AG30" s="3" t="n">
        <v>0.2998998998999</v>
      </c>
      <c r="AH30" s="1" t="n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2025-12-23T16:47:56Z</dcterms:created>
  <dc:creator/>
  <dc:description/>
  <dc:language>en-US</dc:language>
  <cp:lastModifiedBy/>
  <dcterms:modified xsi:type="dcterms:W3CDTF">2025-12-25T14:05:59Z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